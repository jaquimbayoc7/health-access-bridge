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1bb90464e00ae32f/Documentos/GitHub/health-access-bridge/docs/uat/"/>
    </mc:Choice>
  </mc:AlternateContent>
  <xr:revisionPtr revIDLastSave="148" documentId="11_529C5E407BEEBE678692D6FE29274FD89D9DBADC" xr6:coauthVersionLast="47" xr6:coauthVersionMax="47" xr10:uidLastSave="{7AA5E2C5-8384-4FF2-8A32-38388E79AF11}"/>
  <bookViews>
    <workbookView xWindow="-108" yWindow="-108" windowWidth="23256" windowHeight="12456" activeTab="4" xr2:uid="{00000000-000D-0000-FFFF-FFFF00000000}"/>
  </bookViews>
  <sheets>
    <sheet name="Instrucciones" sheetId="1" r:id="rId1"/>
    <sheet name="Preguntas_SUS" sheetId="2" r:id="rId2"/>
    <sheet name="SUS" sheetId="3" r:id="rId3"/>
    <sheet name="Tareas" sheetId="4" r:id="rId4"/>
    <sheet name="Hallazg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5" l="1"/>
  <c r="K6" i="5"/>
  <c r="K5" i="5"/>
  <c r="K4" i="5"/>
  <c r="K3" i="5"/>
  <c r="K2" i="5"/>
  <c r="M7" i="4"/>
  <c r="L7" i="4"/>
  <c r="K7" i="4"/>
  <c r="J7" i="4"/>
  <c r="I7" i="4"/>
  <c r="M6" i="4"/>
  <c r="L6" i="4"/>
  <c r="K6" i="4"/>
  <c r="J6" i="4"/>
  <c r="I6" i="4"/>
  <c r="M5" i="4"/>
  <c r="L5" i="4"/>
  <c r="K5" i="4"/>
  <c r="J5" i="4"/>
  <c r="I5" i="4"/>
  <c r="M4" i="4"/>
  <c r="L4" i="4"/>
  <c r="K4" i="4"/>
  <c r="J4" i="4"/>
  <c r="I4" i="4"/>
  <c r="M3" i="4"/>
  <c r="L3" i="4"/>
  <c r="K3" i="4"/>
  <c r="J3" i="4"/>
  <c r="I3" i="4"/>
  <c r="M2" i="4"/>
  <c r="L2" i="4"/>
  <c r="K2" i="4"/>
  <c r="J2" i="4"/>
  <c r="I2" i="4"/>
  <c r="O12" i="3"/>
  <c r="P12" i="3" s="1"/>
  <c r="O11" i="3"/>
  <c r="P11" i="3" s="1"/>
  <c r="O10" i="3"/>
  <c r="P10" i="3" s="1"/>
  <c r="O9" i="3"/>
  <c r="O8" i="3"/>
  <c r="O7" i="3"/>
  <c r="P7" i="3" s="1"/>
  <c r="O6" i="3"/>
  <c r="O5" i="3"/>
  <c r="O4" i="3"/>
  <c r="P4" i="3" s="1"/>
  <c r="O3" i="3"/>
  <c r="O2" i="3"/>
  <c r="P2" i="3" s="1"/>
  <c r="P9" i="3" l="1"/>
  <c r="E22" i="3"/>
  <c r="P8" i="3"/>
  <c r="E23" i="3"/>
  <c r="P6" i="3"/>
  <c r="E21" i="3"/>
  <c r="E20" i="3"/>
  <c r="E18" i="3"/>
  <c r="E19" i="3"/>
  <c r="P5" i="3"/>
  <c r="E17" i="3"/>
  <c r="E16" i="3"/>
  <c r="P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HAB</author>
  </authors>
  <commentList>
    <comment ref="O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Fórmula: (suma de ítems impares − 5 + 25 − suma de ítems pares) × 2,5. Vacío si faltan respuestas.</t>
        </r>
      </text>
    </comment>
  </commentList>
</comments>
</file>

<file path=xl/sharedStrings.xml><?xml version="1.0" encoding="utf-8"?>
<sst xmlns="http://schemas.openxmlformats.org/spreadsheetml/2006/main" count="167" uniqueCount="128">
  <si>
    <t>Health Access Bridge — Registro de la sesión de usabilidad (HU-09)</t>
  </si>
  <si>
    <t>Complementa docs/uat/PLAN_PRUEBAS_UAT_HU09.md (sección 6). Ambiente de prueba: DEV.</t>
  </si>
  <si>
    <t>Cómo se usa</t>
  </si>
  <si>
    <t>1. Antes de la sesión</t>
  </si>
  <si>
    <t>Cada participante firma el consentimiento (no se incluye en este libro). Se le asigna un ID (P01, P02, …); en el libro no se escribe nombre ni documento, solo el ID.</t>
  </si>
  <si>
    <t>2. Tareas</t>
  </si>
  <si>
    <t>Pida al participante que haga las tareas de la hoja «Tareas» sin ayuda. Registre en esa hoja si la completó, el tiempo y los errores. Una tarea «con ayuda» es aquella en que usted tuvo que intervenir.</t>
  </si>
  <si>
    <t>3. Cuestionario SUS</t>
  </si>
  <si>
    <t>Al terminar las tareas, el participante responde las 10 afirmaciones de la hoja «Preguntas_SUS» de 1 (totalmente en desacuerdo) a 5 (totalmente de acuerdo). Se transcriben en la hoja «SUS» (una fila por participante).</t>
  </si>
  <si>
    <t>4. Comentarios</t>
  </si>
  <si>
    <t>Todo lo confuso, los errores y las sugerencias van en «Hallazgos», con severidad y decisión. Cuando se corrija, anote el commit o el issue.</t>
  </si>
  <si>
    <t>5. Resultados</t>
  </si>
  <si>
    <t>El puntaje SUS de cada participante y el resumen (n, media, mediana, mínimo, máximo) se calculan solos; no los escriba.</t>
  </si>
  <si>
    <t>Colores</t>
  </si>
  <si>
    <t>Amarillo</t>
  </si>
  <si>
    <t>Celda a diligenciar.</t>
  </si>
  <si>
    <t>Azul claro</t>
  </si>
  <si>
    <t>Celda calculada: no escribir (contiene fórmula).</t>
  </si>
  <si>
    <t>Gris</t>
  </si>
  <si>
    <t>Fila de ejemplo (P00): solo muestra el formato. Está fuera de los cálculos; puede borrarla.</t>
  </si>
  <si>
    <t>Puntaje SUS</t>
  </si>
  <si>
    <t>Cálculo</t>
  </si>
  <si>
    <t>Ítems impares (1, 3, 5, 7, 9): respuesta − 1. Ítems pares (2, 4, 6, 8, 10): 5 − respuesta. Se suman las 10 contribuciones y se multiplican por 2,5. Rango 0–100 (Brooke, 1996). Si falta alguna respuesta, el puntaje queda en blanco.</t>
  </si>
  <si>
    <t>Interpretación</t>
  </si>
  <si>
    <t>Menos de 68: por debajo del promedio. 68 o más: por encima del promedio. 80,3 o más: excelente (Bangor et al., 2008; Sauro y Lewis, 2016). El SUS no es un porcentaje: 68 es el promedio de referencia, no una nota.</t>
  </si>
  <si>
    <t>Muestra</t>
  </si>
  <si>
    <t>Cinco participantes detectan cerca del 85 % de los problemas de usabilidad (Nielsen y Landauer, 1993; Virzi, 1992); para estimar el SUS con más precisión se recomiendan 12 o más (Tullis y Stetson, 2004). Con menos de 5 el resumen es solo orientativo.</t>
  </si>
  <si>
    <t>Aviso sobre las preguntas</t>
  </si>
  <si>
    <t>El texto de las 10 afirmaciones es la adaptación estándar al español del SUS. Antes de usarlas con participantes, cotéjelas con la versión publicada de Sevilla-Gonzalez et al. (2020, JMIR Human Factors 7(4):e21161) y ajuste si difieren.</t>
  </si>
  <si>
    <t>N.º</t>
  </si>
  <si>
    <t>Afirmación (responder de 1 a 5)</t>
  </si>
  <si>
    <t>Cómo puntúa</t>
  </si>
  <si>
    <t>Creo que me gustaría usar este sistema con frecuencia.</t>
  </si>
  <si>
    <t>respuesta − 1</t>
  </si>
  <si>
    <t>Encontré el sistema innecesariamente complejo.</t>
  </si>
  <si>
    <t>5 − respuesta</t>
  </si>
  <si>
    <t>Pensé que el sistema era fácil de usar.</t>
  </si>
  <si>
    <t>Creo que necesitaría el apoyo de un técnico para poder usar este sistema.</t>
  </si>
  <si>
    <t>Encontré que las diversas funciones del sistema estaban bien integradas.</t>
  </si>
  <si>
    <t>Pensé que había demasiada inconsistencia en este sistema.</t>
  </si>
  <si>
    <t>Imagino que la mayoría de las personas aprenderían a usar este sistema muy rápidamente.</t>
  </si>
  <si>
    <t>Encontré el sistema muy incómodo de usar.</t>
  </si>
  <si>
    <t>Me sentí muy confiado/a al usar el sistema.</t>
  </si>
  <si>
    <t>Necesité aprender muchas cosas antes de poder empezar a usar el sistema.</t>
  </si>
  <si>
    <t>Escala: 1 = totalmente en desacuerdo · 2 = en desacuerdo · 3 = neutral · 4 = de acuerdo · 5 = totalmente de acuerdo.</t>
  </si>
  <si>
    <t>ID</t>
  </si>
  <si>
    <t>Fecha (aaaa-mm-dd)</t>
  </si>
  <si>
    <t>Rol</t>
  </si>
  <si>
    <t>Experiencia con sistemas clínicos (años)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</si>
  <si>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</si>
  <si>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</si>
  <si>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</si>
  <si>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</si>
  <si>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</si>
  <si>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</si>
  <si>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</si>
  <si>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</si>
  <si>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</si>
  <si>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</si>
  <si>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Puntaje SUS (0–100)</t>
  </si>
  <si>
    <t>P00 (ejemplo)</t>
  </si>
  <si>
    <t>2026-11-03</t>
  </si>
  <si>
    <t>Médico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</si>
  <si>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</si>
  <si>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</si>
  <si>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</si>
  <si>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</si>
  <si>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</si>
  <si>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</si>
  <si>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</si>
  <si>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</si>
  <si>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</si>
  <si>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Resumen (sin la fila de ejemplo)</t>
  </si>
  <si>
    <t>Participantes con SUS completo (n)</t>
  </si>
  <si>
    <t>Media</t>
  </si>
  <si>
    <t>Mediana</t>
  </si>
  <si>
    <t>Mínimo</t>
  </si>
  <si>
    <t>Máximo</t>
  </si>
  <si>
    <t>Participantes con SUS ≥ 68</t>
  </si>
  <si>
    <t>Media del rol Médico</t>
  </si>
  <si>
    <t>Media del rol Administrador</t>
  </si>
  <si>
    <t>Referencia: 68 = promedio del SUS (Sauro y Lewis, 2016); ≥ 80,3 = excelente (Bangor et al., 2008).</t>
  </si>
  <si>
    <t>ID participante</t>
  </si>
  <si>
    <t>Tarea (ID del guion)</t>
  </si>
  <si>
    <t>Resultado</t>
  </si>
  <si>
    <t>Tiempo (min)</t>
  </si>
  <si>
    <t>N.º de errores</t>
  </si>
  <si>
    <t>Observaciones</t>
  </si>
  <si>
    <t>Tarea</t>
  </si>
  <si>
    <t>Intentos</t>
  </si>
  <si>
    <t>Completadas</t>
  </si>
  <si>
    <t>Con ayuda</t>
  </si>
  <si>
    <t>No completadas</t>
  </si>
  <si>
    <t>Tiempo medio (min)</t>
  </si>
  <si>
    <t>M03</t>
  </si>
  <si>
    <t>Completada</t>
  </si>
  <si>
    <t>Encontró el botón «Agregar paciente» de inmediato.</t>
  </si>
  <si>
    <t>M03 — Médico: registrar un paciente</t>
  </si>
  <si>
    <t>M05 — Médico: ejecutar la predicción de barreras</t>
  </si>
  <si>
    <t>M06 — Médico: perfil funcional ICF (generar, aceptar/rechazar, descargar PDF)</t>
  </si>
  <si>
    <t>M08 — Médico: dashboard de análisis (filtrar y exportar)</t>
  </si>
  <si>
    <t>A04 — Admin: crear un usuario médico</t>
  </si>
  <si>
    <t>A03 — Admin: análisis global y filtro por médico</t>
  </si>
  <si>
    <t>El resumen no cuenta la fila de ejemplo (P00). Registre cada intento en una fila.</t>
  </si>
  <si>
    <t>Pantalla o tarea</t>
  </si>
  <si>
    <t>Qué ocurrió / comentario (textual si es posible)</t>
  </si>
  <si>
    <t>Severidad</t>
  </si>
  <si>
    <t>Decisión</t>
  </si>
  <si>
    <t>Commit o issue</t>
  </si>
  <si>
    <t>Estado</t>
  </si>
  <si>
    <t>Resumen</t>
  </si>
  <si>
    <t>Pacientes</t>
  </si>
  <si>
    <t>No entendí que debía pulsar «Guardar» para ver al paciente en la lista.</t>
  </si>
  <si>
    <t>Corregir ahora</t>
  </si>
  <si>
    <t>#123</t>
  </si>
  <si>
    <t>Abierto</t>
  </si>
  <si>
    <t>Hallazgos registrados</t>
  </si>
  <si>
    <t>Severidad alta</t>
  </si>
  <si>
    <t>Severidad media</t>
  </si>
  <si>
    <t>Severidad baja</t>
  </si>
  <si>
    <t>Abiertos</t>
  </si>
  <si>
    <t>Corregidos o verificados</t>
  </si>
  <si>
    <t>Administrador</t>
  </si>
  <si>
    <t>M06</t>
  </si>
  <si>
    <t>No encontraba los codigos de ejemplo CIF de inmediato</t>
  </si>
  <si>
    <t>No entendía que se debía agregar un nivel de complejidad a los codigos del LLM.</t>
  </si>
  <si>
    <t>Colocar ayudas en el perfil ICF para indicar los niveles de severidad y agregarlos en el perfil</t>
  </si>
  <si>
    <t>Pasar al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</si>
</sst>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b/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5" fillId="5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1" xfId="0" applyFont="1" applyBorder="1"/>
    <xf numFmtId="0" fontId="5" fillId="5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/>
    </xf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164" fontId="4" fillId="4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5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18"/>
  <sheetViews>
    <sheetView showGridLines="0" workbookViewId="0"/>
  </sheetViews>
  <sheetFormatPr baseColWidth="10" defaultColWidth="8.88671875" defaultRowHeight="14.4" x14ac:dyDescent="0.3"/>
  <cols>
    <col min="1" max="1" width="4" customWidth="1"/>
    <col min="2" max="2" width="34" customWidth="1"/>
    <col min="3" max="3" width="90" customWidth="1"/>
  </cols>
  <sheetData>
    <row r="1" spans="2:3" ht="17.399999999999999" x14ac:dyDescent="0.3">
      <c r="B1" s="1" t="s">
        <v>0</v>
      </c>
    </row>
    <row r="2" spans="2:3" x14ac:dyDescent="0.3">
      <c r="B2" s="2" t="s">
        <v>1</v>
      </c>
    </row>
    <row r="4" spans="2:3" x14ac:dyDescent="0.3">
      <c r="B4" s="3" t="s">
        <v>2</v>
      </c>
      <c r="C4" s="4"/>
    </row>
    <row r="5" spans="2:3" ht="26.4" x14ac:dyDescent="0.3">
      <c r="B5" s="5" t="s">
        <v>3</v>
      </c>
      <c r="C5" s="6" t="s">
        <v>4</v>
      </c>
    </row>
    <row r="6" spans="2:3" ht="26.4" x14ac:dyDescent="0.3">
      <c r="B6" s="5" t="s">
        <v>5</v>
      </c>
      <c r="C6" s="6" t="s">
        <v>6</v>
      </c>
    </row>
    <row r="7" spans="2:3" ht="39.6" x14ac:dyDescent="0.3">
      <c r="B7" s="5" t="s">
        <v>7</v>
      </c>
      <c r="C7" s="6" t="s">
        <v>8</v>
      </c>
    </row>
    <row r="8" spans="2:3" ht="26.4" x14ac:dyDescent="0.3">
      <c r="B8" s="5" t="s">
        <v>9</v>
      </c>
      <c r="C8" s="6" t="s">
        <v>10</v>
      </c>
    </row>
    <row r="9" spans="2:3" ht="26.4" x14ac:dyDescent="0.3">
      <c r="B9" s="5" t="s">
        <v>11</v>
      </c>
      <c r="C9" s="6" t="s">
        <v>12</v>
      </c>
    </row>
    <row r="10" spans="2:3" x14ac:dyDescent="0.3">
      <c r="B10" s="3" t="s">
        <v>13</v>
      </c>
      <c r="C10" s="4"/>
    </row>
    <row r="11" spans="2:3" x14ac:dyDescent="0.3">
      <c r="B11" s="7" t="s">
        <v>14</v>
      </c>
      <c r="C11" s="6" t="s">
        <v>15</v>
      </c>
    </row>
    <row r="12" spans="2:3" x14ac:dyDescent="0.3">
      <c r="B12" s="8" t="s">
        <v>16</v>
      </c>
      <c r="C12" s="6" t="s">
        <v>17</v>
      </c>
    </row>
    <row r="13" spans="2:3" x14ac:dyDescent="0.3">
      <c r="B13" s="9" t="s">
        <v>18</v>
      </c>
      <c r="C13" s="6" t="s">
        <v>19</v>
      </c>
    </row>
    <row r="14" spans="2:3" x14ac:dyDescent="0.3">
      <c r="B14" s="3" t="s">
        <v>20</v>
      </c>
      <c r="C14" s="4"/>
    </row>
    <row r="15" spans="2:3" ht="39.6" x14ac:dyDescent="0.3">
      <c r="B15" s="5" t="s">
        <v>21</v>
      </c>
      <c r="C15" s="6" t="s">
        <v>22</v>
      </c>
    </row>
    <row r="16" spans="2:3" ht="39.6" x14ac:dyDescent="0.3">
      <c r="B16" s="5" t="s">
        <v>23</v>
      </c>
      <c r="C16" s="6" t="s">
        <v>24</v>
      </c>
    </row>
    <row r="17" spans="2:3" ht="39.6" x14ac:dyDescent="0.3">
      <c r="B17" s="5" t="s">
        <v>25</v>
      </c>
      <c r="C17" s="6" t="s">
        <v>26</v>
      </c>
    </row>
    <row r="18" spans="2:3" ht="39.6" x14ac:dyDescent="0.3">
      <c r="B18" s="5" t="s">
        <v>27</v>
      </c>
      <c r="C18" s="6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C13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6" customWidth="1"/>
    <col min="2" max="2" width="80" customWidth="1"/>
    <col min="3" max="3" width="22" customWidth="1"/>
  </cols>
  <sheetData>
    <row r="1" spans="1:3" ht="42" customHeight="1" x14ac:dyDescent="0.3">
      <c r="A1" s="10" t="s">
        <v>29</v>
      </c>
      <c r="B1" s="10" t="s">
        <v>30</v>
      </c>
      <c r="C1" s="10" t="s">
        <v>31</v>
      </c>
    </row>
    <row r="2" spans="1:3" x14ac:dyDescent="0.3">
      <c r="A2" s="11">
        <v>1</v>
      </c>
      <c r="B2" s="11" t="s">
        <v>32</v>
      </c>
      <c r="C2" s="11" t="s">
        <v>33</v>
      </c>
    </row>
    <row r="3" spans="1:3" x14ac:dyDescent="0.3">
      <c r="A3" s="11">
        <v>2</v>
      </c>
      <c r="B3" s="11" t="s">
        <v>34</v>
      </c>
      <c r="C3" s="11" t="s">
        <v>35</v>
      </c>
    </row>
    <row r="4" spans="1:3" x14ac:dyDescent="0.3">
      <c r="A4" s="11">
        <v>3</v>
      </c>
      <c r="B4" s="11" t="s">
        <v>36</v>
      </c>
      <c r="C4" s="11" t="s">
        <v>33</v>
      </c>
    </row>
    <row r="5" spans="1:3" x14ac:dyDescent="0.3">
      <c r="A5" s="11">
        <v>4</v>
      </c>
      <c r="B5" s="11" t="s">
        <v>37</v>
      </c>
      <c r="C5" s="11" t="s">
        <v>35</v>
      </c>
    </row>
    <row r="6" spans="1:3" x14ac:dyDescent="0.3">
      <c r="A6" s="11">
        <v>5</v>
      </c>
      <c r="B6" s="11" t="s">
        <v>38</v>
      </c>
      <c r="C6" s="11" t="s">
        <v>33</v>
      </c>
    </row>
    <row r="7" spans="1:3" x14ac:dyDescent="0.3">
      <c r="A7" s="11">
        <v>6</v>
      </c>
      <c r="B7" s="11" t="s">
        <v>39</v>
      </c>
      <c r="C7" s="11" t="s">
        <v>35</v>
      </c>
    </row>
    <row r="8" spans="1:3" x14ac:dyDescent="0.3">
      <c r="A8" s="11">
        <v>7</v>
      </c>
      <c r="B8" s="11" t="s">
        <v>40</v>
      </c>
      <c r="C8" s="11" t="s">
        <v>33</v>
      </c>
    </row>
    <row r="9" spans="1:3" x14ac:dyDescent="0.3">
      <c r="A9" s="11">
        <v>8</v>
      </c>
      <c r="B9" s="11" t="s">
        <v>41</v>
      </c>
      <c r="C9" s="11" t="s">
        <v>35</v>
      </c>
    </row>
    <row r="10" spans="1:3" x14ac:dyDescent="0.3">
      <c r="A10" s="11">
        <v>9</v>
      </c>
      <c r="B10" s="11" t="s">
        <v>42</v>
      </c>
      <c r="C10" s="11" t="s">
        <v>33</v>
      </c>
    </row>
    <row r="11" spans="1:3" x14ac:dyDescent="0.3">
      <c r="A11" s="11">
        <v>10</v>
      </c>
      <c r="B11" s="11" t="s">
        <v>43</v>
      </c>
      <c r="C11" s="11" t="s">
        <v>35</v>
      </c>
    </row>
    <row r="13" spans="1:3" x14ac:dyDescent="0.3">
      <c r="A13" s="2" t="s">
        <v>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</sheetPr>
  <dimension ref="A1:P24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L8" sqref="L8"/>
    </sheetView>
  </sheetViews>
  <sheetFormatPr baseColWidth="10" defaultColWidth="8.88671875" defaultRowHeight="14.4" x14ac:dyDescent="0.3"/>
  <cols>
    <col min="1" max="1" width="10" customWidth="1"/>
    <col min="2" max="3" width="16" customWidth="1"/>
    <col min="4" max="4" width="18" customWidth="1"/>
    <col min="5" max="14" width="6" customWidth="1"/>
    <col min="15" max="15" width="14" customWidth="1"/>
    <col min="16" max="16" width="24" customWidth="1"/>
  </cols>
  <sheetData>
    <row r="1" spans="1:16" ht="42" customHeight="1" x14ac:dyDescent="0.3">
      <c r="A1" s="10" t="s">
        <v>45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51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  <c r="N1" s="10" t="s">
        <v>58</v>
      </c>
      <c r="O1" s="10" t="s">
        <v>59</v>
      </c>
      <c r="P1" s="10" t="s">
        <v>23</v>
      </c>
    </row>
    <row r="2" spans="1:16" ht="26.4" x14ac:dyDescent="0.3">
      <c r="A2" s="12" t="s">
        <v>60</v>
      </c>
      <c r="B2" s="12" t="s">
        <v>61</v>
      </c>
      <c r="C2" s="12" t="s">
        <v>62</v>
      </c>
      <c r="D2" s="12">
        <v>8</v>
      </c>
      <c r="E2" s="12">
        <v>4</v>
      </c>
      <c r="F2" s="12">
        <v>2</v>
      </c>
      <c r="G2" s="12">
        <v>5</v>
      </c>
      <c r="H2" s="12">
        <v>1</v>
      </c>
      <c r="I2" s="12">
        <v>4</v>
      </c>
      <c r="J2" s="12">
        <v>2</v>
      </c>
      <c r="K2" s="12">
        <v>4</v>
      </c>
      <c r="L2" s="12">
        <v>2</v>
      </c>
      <c r="M2" s="12">
        <v>5</v>
      </c>
      <c r="N2" s="12">
        <v>1</v>
      </c>
      <c r="O2" s="13">
        <f t="shared" ref="O2:O12" si="0">IF(COUNT(E2:N2)&lt;10,"",((E2+G2+I2+K2+M2)-5+(25-(F2+H2+J2+L2+N2)))*2.5)</f>
        <v>85</v>
      </c>
      <c r="P2" s="14" t="str">
        <f t="shared" ref="P2:P12" si="1">IF(O2="","",IF(O2&gt;=80.3,"Excelente",IF(O2&gt;=68,"Por encima del promedio","Por debajo del promedio")))</f>
        <v>Excelente</v>
      </c>
    </row>
    <row r="3" spans="1:16" x14ac:dyDescent="0.3">
      <c r="A3" s="15" t="s">
        <v>63</v>
      </c>
      <c r="B3" s="30">
        <v>46322</v>
      </c>
      <c r="C3" s="16" t="s">
        <v>62</v>
      </c>
      <c r="D3" s="16">
        <v>5</v>
      </c>
      <c r="E3" s="16">
        <v>4</v>
      </c>
      <c r="F3" s="16">
        <v>2</v>
      </c>
      <c r="G3" s="16">
        <v>5</v>
      </c>
      <c r="H3" s="16">
        <v>3</v>
      </c>
      <c r="I3" s="16">
        <v>5</v>
      </c>
      <c r="J3" s="16">
        <v>2</v>
      </c>
      <c r="K3" s="16">
        <v>4</v>
      </c>
      <c r="L3" s="16">
        <v>2</v>
      </c>
      <c r="M3" s="16">
        <v>4</v>
      </c>
      <c r="N3" s="16">
        <v>1</v>
      </c>
      <c r="O3" s="13">
        <f t="shared" si="0"/>
        <v>80</v>
      </c>
      <c r="P3" s="14" t="str">
        <f t="shared" si="1"/>
        <v>Por encima del promedio</v>
      </c>
    </row>
    <row r="4" spans="1:16" x14ac:dyDescent="0.3">
      <c r="A4" s="15" t="s">
        <v>64</v>
      </c>
      <c r="B4" s="30">
        <v>46322</v>
      </c>
      <c r="C4" s="16" t="s">
        <v>122</v>
      </c>
      <c r="D4" s="16">
        <v>4</v>
      </c>
      <c r="E4" s="16">
        <v>4</v>
      </c>
      <c r="F4" s="16">
        <v>2</v>
      </c>
      <c r="G4" s="16">
        <v>5</v>
      </c>
      <c r="H4" s="16">
        <v>2</v>
      </c>
      <c r="I4" s="16">
        <v>5</v>
      </c>
      <c r="J4" s="16">
        <v>2</v>
      </c>
      <c r="K4" s="16">
        <v>4</v>
      </c>
      <c r="L4" s="16">
        <v>1</v>
      </c>
      <c r="M4" s="16">
        <v>4</v>
      </c>
      <c r="N4" s="16">
        <v>1</v>
      </c>
      <c r="O4" s="13">
        <f t="shared" si="0"/>
        <v>85</v>
      </c>
      <c r="P4" s="14" t="str">
        <f t="shared" si="1"/>
        <v>Excelente</v>
      </c>
    </row>
    <row r="5" spans="1:16" x14ac:dyDescent="0.3">
      <c r="A5" s="15" t="s">
        <v>65</v>
      </c>
      <c r="B5" s="30">
        <v>46322</v>
      </c>
      <c r="C5" s="16" t="s">
        <v>122</v>
      </c>
      <c r="D5" s="16">
        <v>4</v>
      </c>
      <c r="E5" s="16">
        <v>4</v>
      </c>
      <c r="F5" s="16">
        <v>2</v>
      </c>
      <c r="G5" s="16">
        <v>4</v>
      </c>
      <c r="H5" s="16">
        <v>3</v>
      </c>
      <c r="I5" s="16">
        <v>4</v>
      </c>
      <c r="J5" s="16">
        <v>2</v>
      </c>
      <c r="K5" s="16">
        <v>4</v>
      </c>
      <c r="L5" s="16">
        <v>2</v>
      </c>
      <c r="M5" s="16">
        <v>4</v>
      </c>
      <c r="N5" s="16">
        <v>1</v>
      </c>
      <c r="O5" s="13">
        <f t="shared" si="0"/>
        <v>75</v>
      </c>
      <c r="P5" s="14" t="str">
        <f t="shared" si="1"/>
        <v>Por encima del promedio</v>
      </c>
    </row>
    <row r="6" spans="1:16" x14ac:dyDescent="0.3">
      <c r="A6" s="15" t="s">
        <v>66</v>
      </c>
      <c r="B6" s="30">
        <v>46322</v>
      </c>
      <c r="C6" s="16" t="s">
        <v>62</v>
      </c>
      <c r="D6" s="16">
        <v>6</v>
      </c>
      <c r="E6" s="16">
        <v>5</v>
      </c>
      <c r="F6" s="16">
        <v>1</v>
      </c>
      <c r="G6" s="16">
        <v>4</v>
      </c>
      <c r="H6" s="16">
        <v>2</v>
      </c>
      <c r="I6" s="16">
        <v>4</v>
      </c>
      <c r="J6" s="16">
        <v>1</v>
      </c>
      <c r="K6" s="16">
        <v>5</v>
      </c>
      <c r="L6" s="16">
        <v>2</v>
      </c>
      <c r="M6" s="16">
        <v>5</v>
      </c>
      <c r="N6" s="16">
        <v>2</v>
      </c>
      <c r="O6" s="13">
        <f t="shared" si="0"/>
        <v>87.5</v>
      </c>
      <c r="P6" s="14" t="str">
        <f t="shared" si="1"/>
        <v>Excelente</v>
      </c>
    </row>
    <row r="7" spans="1:16" x14ac:dyDescent="0.3">
      <c r="A7" s="15" t="s">
        <v>67</v>
      </c>
      <c r="B7" s="30">
        <v>46322</v>
      </c>
      <c r="C7" s="16" t="s">
        <v>62</v>
      </c>
      <c r="D7" s="16">
        <v>3</v>
      </c>
      <c r="E7" s="16">
        <v>5</v>
      </c>
      <c r="F7" s="16">
        <v>1</v>
      </c>
      <c r="G7" s="16">
        <v>4</v>
      </c>
      <c r="H7" s="16">
        <v>1</v>
      </c>
      <c r="I7" s="16">
        <v>4</v>
      </c>
      <c r="J7" s="16">
        <v>1</v>
      </c>
      <c r="K7" s="16">
        <v>5</v>
      </c>
      <c r="L7" s="16">
        <v>2</v>
      </c>
      <c r="M7" s="16">
        <v>5</v>
      </c>
      <c r="N7" s="16">
        <v>2</v>
      </c>
      <c r="O7" s="13">
        <f t="shared" si="0"/>
        <v>90</v>
      </c>
      <c r="P7" s="14" t="str">
        <f t="shared" si="1"/>
        <v>Excelente</v>
      </c>
    </row>
    <row r="8" spans="1:16" x14ac:dyDescent="0.3">
      <c r="A8" s="15" t="s">
        <v>68</v>
      </c>
      <c r="B8" s="30">
        <v>46322</v>
      </c>
      <c r="C8" s="16" t="s">
        <v>122</v>
      </c>
      <c r="D8" s="16">
        <v>5</v>
      </c>
      <c r="E8" s="16">
        <v>4</v>
      </c>
      <c r="F8" s="16">
        <v>2</v>
      </c>
      <c r="G8" s="16">
        <v>5</v>
      </c>
      <c r="H8" s="16">
        <v>2</v>
      </c>
      <c r="I8" s="16">
        <v>4</v>
      </c>
      <c r="J8" s="16">
        <v>1</v>
      </c>
      <c r="K8" s="16">
        <v>5</v>
      </c>
      <c r="L8" s="16">
        <v>1</v>
      </c>
      <c r="M8" s="16">
        <v>5</v>
      </c>
      <c r="N8" s="16">
        <v>2</v>
      </c>
      <c r="O8" s="13">
        <f t="shared" si="0"/>
        <v>87.5</v>
      </c>
      <c r="P8" s="14" t="str">
        <f t="shared" si="1"/>
        <v>Excelente</v>
      </c>
    </row>
    <row r="9" spans="1:16" x14ac:dyDescent="0.3">
      <c r="A9" s="15" t="s">
        <v>69</v>
      </c>
      <c r="B9" s="30">
        <v>46322</v>
      </c>
      <c r="C9" s="16" t="s">
        <v>62</v>
      </c>
      <c r="D9" s="16">
        <v>3</v>
      </c>
      <c r="E9" s="16">
        <v>4</v>
      </c>
      <c r="F9" s="16">
        <v>2</v>
      </c>
      <c r="G9" s="16">
        <v>5</v>
      </c>
      <c r="H9" s="16">
        <v>2</v>
      </c>
      <c r="I9" s="16">
        <v>5</v>
      </c>
      <c r="J9" s="16">
        <v>2</v>
      </c>
      <c r="K9" s="16">
        <v>4</v>
      </c>
      <c r="L9" s="16">
        <v>2</v>
      </c>
      <c r="M9" s="16">
        <v>4</v>
      </c>
      <c r="N9" s="16">
        <v>2</v>
      </c>
      <c r="O9" s="13">
        <f t="shared" si="0"/>
        <v>80</v>
      </c>
      <c r="P9" s="14" t="str">
        <f t="shared" si="1"/>
        <v>Por encima del promedio</v>
      </c>
    </row>
    <row r="10" spans="1:16" x14ac:dyDescent="0.3">
      <c r="A10" s="15" t="s">
        <v>70</v>
      </c>
      <c r="B10" s="30">
        <v>46322</v>
      </c>
      <c r="C10" s="16" t="s">
        <v>122</v>
      </c>
      <c r="D10" s="16">
        <v>4</v>
      </c>
      <c r="E10" s="16">
        <v>4</v>
      </c>
      <c r="F10" s="16">
        <v>2</v>
      </c>
      <c r="G10" s="16">
        <v>4</v>
      </c>
      <c r="H10" s="16">
        <v>3</v>
      </c>
      <c r="I10" s="16">
        <v>5</v>
      </c>
      <c r="J10" s="16">
        <v>2</v>
      </c>
      <c r="K10" s="16">
        <v>4</v>
      </c>
      <c r="L10" s="16">
        <v>3</v>
      </c>
      <c r="M10" s="16">
        <v>4</v>
      </c>
      <c r="N10" s="16">
        <v>2</v>
      </c>
      <c r="O10" s="13">
        <f t="shared" si="0"/>
        <v>72.5</v>
      </c>
      <c r="P10" s="14" t="str">
        <f t="shared" si="1"/>
        <v>Por encima del promedio</v>
      </c>
    </row>
    <row r="11" spans="1:16" x14ac:dyDescent="0.3">
      <c r="A11" s="15" t="s">
        <v>71</v>
      </c>
      <c r="B11" s="30">
        <v>46322</v>
      </c>
      <c r="C11" s="16" t="s">
        <v>62</v>
      </c>
      <c r="D11" s="16">
        <v>2</v>
      </c>
      <c r="E11" s="16">
        <v>5</v>
      </c>
      <c r="F11" s="16">
        <v>1</v>
      </c>
      <c r="G11" s="16">
        <v>5</v>
      </c>
      <c r="H11" s="16">
        <v>2</v>
      </c>
      <c r="I11" s="16">
        <v>4</v>
      </c>
      <c r="J11" s="16">
        <v>2</v>
      </c>
      <c r="K11" s="16">
        <v>4</v>
      </c>
      <c r="L11" s="16">
        <v>2</v>
      </c>
      <c r="M11" s="16">
        <v>4</v>
      </c>
      <c r="N11" s="16">
        <v>2</v>
      </c>
      <c r="O11" s="13">
        <f t="shared" si="0"/>
        <v>82.5</v>
      </c>
      <c r="P11" s="14" t="str">
        <f t="shared" si="1"/>
        <v>Excelente</v>
      </c>
    </row>
    <row r="12" spans="1:16" x14ac:dyDescent="0.3">
      <c r="A12" s="15" t="s">
        <v>58</v>
      </c>
      <c r="B12" s="30">
        <v>46322</v>
      </c>
      <c r="C12" s="16" t="s">
        <v>122</v>
      </c>
      <c r="D12" s="16">
        <v>3</v>
      </c>
      <c r="E12" s="16">
        <v>3</v>
      </c>
      <c r="F12" s="16">
        <v>2</v>
      </c>
      <c r="G12" s="16">
        <v>4</v>
      </c>
      <c r="H12" s="16">
        <v>1</v>
      </c>
      <c r="I12" s="16">
        <v>4</v>
      </c>
      <c r="J12" s="16">
        <v>1</v>
      </c>
      <c r="K12" s="16">
        <v>5</v>
      </c>
      <c r="L12" s="16">
        <v>4</v>
      </c>
      <c r="M12" s="16">
        <v>4</v>
      </c>
      <c r="N12" s="16">
        <v>3</v>
      </c>
      <c r="O12" s="13">
        <f t="shared" si="0"/>
        <v>72.5</v>
      </c>
      <c r="P12" s="14" t="str">
        <f t="shared" si="1"/>
        <v>Por encima del promedio</v>
      </c>
    </row>
    <row r="15" spans="1:16" x14ac:dyDescent="0.3">
      <c r="A15" s="17" t="s">
        <v>72</v>
      </c>
    </row>
    <row r="16" spans="1:16" x14ac:dyDescent="0.3">
      <c r="A16" s="25" t="s">
        <v>73</v>
      </c>
      <c r="B16" s="26"/>
      <c r="C16" s="26"/>
      <c r="D16" s="27"/>
      <c r="E16" s="29">
        <f>COUNT(O3:O12)</f>
        <v>10</v>
      </c>
      <c r="F16" s="27"/>
    </row>
    <row r="17" spans="1:6" x14ac:dyDescent="0.3">
      <c r="A17" s="25" t="s">
        <v>74</v>
      </c>
      <c r="B17" s="26"/>
      <c r="C17" s="26"/>
      <c r="D17" s="27"/>
      <c r="E17" s="28">
        <f>IF(COUNT(O3:O12)=0,"",AVERAGE(O3:O12))</f>
        <v>81.25</v>
      </c>
      <c r="F17" s="27"/>
    </row>
    <row r="18" spans="1:6" x14ac:dyDescent="0.3">
      <c r="A18" s="25" t="s">
        <v>75</v>
      </c>
      <c r="B18" s="26"/>
      <c r="C18" s="26"/>
      <c r="D18" s="27"/>
      <c r="E18" s="28">
        <f>IF(COUNT(O3:O12)=0,"",MEDIAN(O3:O12))</f>
        <v>81.25</v>
      </c>
      <c r="F18" s="27"/>
    </row>
    <row r="19" spans="1:6" x14ac:dyDescent="0.3">
      <c r="A19" s="25" t="s">
        <v>76</v>
      </c>
      <c r="B19" s="26"/>
      <c r="C19" s="26"/>
      <c r="D19" s="27"/>
      <c r="E19" s="28">
        <f>IF(COUNT(O3:O12)=0,"",MIN(O3:O12))</f>
        <v>72.5</v>
      </c>
      <c r="F19" s="27"/>
    </row>
    <row r="20" spans="1:6" x14ac:dyDescent="0.3">
      <c r="A20" s="25" t="s">
        <v>77</v>
      </c>
      <c r="B20" s="26"/>
      <c r="C20" s="26"/>
      <c r="D20" s="27"/>
      <c r="E20" s="28">
        <f>IF(COUNT(O3:O12)=0,"",MAX(O3:O12))</f>
        <v>90</v>
      </c>
      <c r="F20" s="27"/>
    </row>
    <row r="21" spans="1:6" x14ac:dyDescent="0.3">
      <c r="A21" s="25" t="s">
        <v>78</v>
      </c>
      <c r="B21" s="26"/>
      <c r="C21" s="26"/>
      <c r="D21" s="27"/>
      <c r="E21" s="29">
        <f>COUNTIF(O3:O12,"&gt;=68")</f>
        <v>10</v>
      </c>
      <c r="F21" s="27"/>
    </row>
    <row r="22" spans="1:6" x14ac:dyDescent="0.3">
      <c r="A22" s="25" t="s">
        <v>79</v>
      </c>
      <c r="B22" s="26"/>
      <c r="C22" s="26"/>
      <c r="D22" s="27"/>
      <c r="E22" s="28">
        <f>IFERROR(AVERAGEIFS(O3:O12,C3:C12,"Médico"),"")</f>
        <v>84</v>
      </c>
      <c r="F22" s="27"/>
    </row>
    <row r="23" spans="1:6" x14ac:dyDescent="0.3">
      <c r="A23" s="25" t="s">
        <v>80</v>
      </c>
      <c r="B23" s="26"/>
      <c r="C23" s="26"/>
      <c r="D23" s="27"/>
      <c r="E23" s="28">
        <f>IFERROR(AVERAGEIFS(O3:O12,C3:C12,"Administrador"),"")</f>
        <v>78.5</v>
      </c>
      <c r="F23" s="27"/>
    </row>
    <row r="24" spans="1:6" x14ac:dyDescent="0.3">
      <c r="A24" s="2" t="s">
        <v>81</v>
      </c>
    </row>
  </sheetData>
  <mergeCells count="16">
    <mergeCell ref="A16:D16"/>
    <mergeCell ref="A20:D20"/>
    <mergeCell ref="E23:F23"/>
    <mergeCell ref="E17:F17"/>
    <mergeCell ref="E18:F18"/>
    <mergeCell ref="A19:D19"/>
    <mergeCell ref="A23:D23"/>
    <mergeCell ref="E16:F16"/>
    <mergeCell ref="A18:D18"/>
    <mergeCell ref="E21:F21"/>
    <mergeCell ref="A17:D17"/>
    <mergeCell ref="E20:F20"/>
    <mergeCell ref="A21:D21"/>
    <mergeCell ref="E19:F19"/>
    <mergeCell ref="E22:F22"/>
    <mergeCell ref="A22:D22"/>
  </mergeCells>
  <dataValidations count="2">
    <dataValidation type="whole" allowBlank="1" errorTitle="Valor no válido" error="Escriba un número entero de 1 a 5." sqref="E3:N12" xr:uid="{00000000-0002-0000-0200-000000000000}">
      <formula1>1</formula1>
      <formula2>5</formula2>
    </dataValidation>
    <dataValidation type="list" allowBlank="1" sqref="C3:C12" xr:uid="{00000000-0002-0000-0200-000001000000}">
      <formula1>"Médico,Administrador"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M82"/>
  <sheetViews>
    <sheetView showGridLines="0" workbookViewId="0">
      <pane ySplit="1" topLeftCell="A2" activePane="bottomLeft" state="frozen"/>
      <selection pane="bottomLeft" activeCell="A3" sqref="A3:A4"/>
    </sheetView>
  </sheetViews>
  <sheetFormatPr baseColWidth="10" defaultColWidth="8.88671875" defaultRowHeight="14.4" x14ac:dyDescent="0.3"/>
  <cols>
    <col min="1" max="1" width="14" customWidth="1"/>
    <col min="2" max="2" width="30" customWidth="1"/>
    <col min="3" max="3" width="18" customWidth="1"/>
    <col min="4" max="5" width="12" customWidth="1"/>
    <col min="6" max="6" width="60" customWidth="1"/>
    <col min="8" max="8" width="62" customWidth="1"/>
    <col min="9" max="10" width="12" customWidth="1"/>
    <col min="11" max="12" width="14" customWidth="1"/>
    <col min="13" max="13" width="16" customWidth="1"/>
  </cols>
  <sheetData>
    <row r="1" spans="1:13" ht="42" customHeight="1" x14ac:dyDescent="0.3">
      <c r="A1" s="10" t="s">
        <v>82</v>
      </c>
      <c r="B1" s="10" t="s">
        <v>83</v>
      </c>
      <c r="C1" s="10" t="s">
        <v>84</v>
      </c>
      <c r="D1" s="10" t="s">
        <v>85</v>
      </c>
      <c r="E1" s="10" t="s">
        <v>86</v>
      </c>
      <c r="F1" s="10" t="s">
        <v>87</v>
      </c>
      <c r="H1" s="10" t="s">
        <v>88</v>
      </c>
      <c r="I1" s="10" t="s">
        <v>89</v>
      </c>
      <c r="J1" s="10" t="s">
        <v>90</v>
      </c>
      <c r="K1" s="10" t="s">
        <v>91</v>
      </c>
      <c r="L1" s="10" t="s">
        <v>92</v>
      </c>
      <c r="M1" s="10" t="s">
        <v>93</v>
      </c>
    </row>
    <row r="2" spans="1:13" x14ac:dyDescent="0.3">
      <c r="A2" s="19" t="s">
        <v>60</v>
      </c>
      <c r="B2" s="19" t="s">
        <v>94</v>
      </c>
      <c r="C2" s="19" t="s">
        <v>95</v>
      </c>
      <c r="D2" s="19">
        <v>3.5</v>
      </c>
      <c r="E2" s="19">
        <v>0</v>
      </c>
      <c r="F2" s="19" t="s">
        <v>96</v>
      </c>
      <c r="H2" s="20" t="s">
        <v>97</v>
      </c>
      <c r="I2" s="20">
        <f>COUNTIF($B$3:$B$82,"M03")</f>
        <v>0</v>
      </c>
      <c r="J2" s="20">
        <f>COUNTIFS($B$3:$B$82,"M03",$C$3:$C$82,"Completada")</f>
        <v>0</v>
      </c>
      <c r="K2" s="20">
        <f>COUNTIFS($B$3:$B$82,"M03",$C$3:$C$82,"Con ayuda")</f>
        <v>0</v>
      </c>
      <c r="L2" s="20">
        <f>COUNTIFS($B$3:$B$82,"M03",$C$3:$C$82,"No completada")</f>
        <v>0</v>
      </c>
      <c r="M2" s="21" t="str">
        <f>IFERROR(AVERAGEIFS($D$3:$D$82,$B$3:$B$82,"M03"),"")</f>
        <v/>
      </c>
    </row>
    <row r="3" spans="1:13" x14ac:dyDescent="0.3">
      <c r="A3" s="22" t="s">
        <v>63</v>
      </c>
      <c r="B3" s="22" t="s">
        <v>123</v>
      </c>
      <c r="C3" s="22" t="s">
        <v>91</v>
      </c>
      <c r="D3" s="23">
        <v>3</v>
      </c>
      <c r="E3" s="22">
        <v>0</v>
      </c>
      <c r="F3" s="22" t="s">
        <v>124</v>
      </c>
      <c r="H3" s="20" t="s">
        <v>98</v>
      </c>
      <c r="I3" s="20">
        <f>COUNTIF($B$3:$B$82,"M05")</f>
        <v>0</v>
      </c>
      <c r="J3" s="20">
        <f>COUNTIFS($B$3:$B$82,"M05",$C$3:$C$82,"Completada")</f>
        <v>0</v>
      </c>
      <c r="K3" s="20">
        <f>COUNTIFS($B$3:$B$82,"M05",$C$3:$C$82,"Con ayuda")</f>
        <v>0</v>
      </c>
      <c r="L3" s="20">
        <f>COUNTIFS($B$3:$B$82,"M05",$C$3:$C$82,"No completada")</f>
        <v>0</v>
      </c>
      <c r="M3" s="21" t="str">
        <f>IFERROR(AVERAGEIFS($D$3:$D$82,$B$3:$B$82,"M05"),"")</f>
        <v/>
      </c>
    </row>
    <row r="4" spans="1:13" ht="26.4" x14ac:dyDescent="0.3">
      <c r="A4" s="22" t="s">
        <v>58</v>
      </c>
      <c r="B4" s="22" t="s">
        <v>123</v>
      </c>
      <c r="C4" s="22" t="s">
        <v>91</v>
      </c>
      <c r="D4" s="23">
        <v>5</v>
      </c>
      <c r="E4" s="22">
        <v>0</v>
      </c>
      <c r="F4" s="22" t="s">
        <v>125</v>
      </c>
      <c r="H4" s="20" t="s">
        <v>99</v>
      </c>
      <c r="I4" s="20">
        <f>COUNTIF($B$3:$B$82,"M06")</f>
        <v>2</v>
      </c>
      <c r="J4" s="20">
        <f>COUNTIFS($B$3:$B$82,"M06",$C$3:$C$82,"Completada")</f>
        <v>0</v>
      </c>
      <c r="K4" s="20">
        <f>COUNTIFS($B$3:$B$82,"M06",$C$3:$C$82,"Con ayuda")</f>
        <v>2</v>
      </c>
      <c r="L4" s="20">
        <f>COUNTIFS($B$3:$B$82,"M06",$C$3:$C$82,"No completada")</f>
        <v>0</v>
      </c>
      <c r="M4" s="21">
        <f>IFERROR(AVERAGEIFS($D$3:$D$82,$B$3:$B$82,"M06"),"")</f>
        <v>4</v>
      </c>
    </row>
    <row r="5" spans="1:13" x14ac:dyDescent="0.3">
      <c r="A5" s="22"/>
      <c r="B5" s="22"/>
      <c r="C5" s="22"/>
      <c r="D5" s="23"/>
      <c r="E5" s="22"/>
      <c r="F5" s="22"/>
      <c r="H5" s="20" t="s">
        <v>100</v>
      </c>
      <c r="I5" s="20">
        <f>COUNTIF($B$3:$B$82,"M08")</f>
        <v>0</v>
      </c>
      <c r="J5" s="20">
        <f>COUNTIFS($B$3:$B$82,"M08",$C$3:$C$82,"Completada")</f>
        <v>0</v>
      </c>
      <c r="K5" s="20">
        <f>COUNTIFS($B$3:$B$82,"M08",$C$3:$C$82,"Con ayuda")</f>
        <v>0</v>
      </c>
      <c r="L5" s="20">
        <f>COUNTIFS($B$3:$B$82,"M08",$C$3:$C$82,"No completada")</f>
        <v>0</v>
      </c>
      <c r="M5" s="21" t="str">
        <f>IFERROR(AVERAGEIFS($D$3:$D$82,$B$3:$B$82,"M08"),"")</f>
        <v/>
      </c>
    </row>
    <row r="6" spans="1:13" x14ac:dyDescent="0.3">
      <c r="A6" s="22"/>
      <c r="B6" s="22"/>
      <c r="C6" s="22"/>
      <c r="D6" s="23"/>
      <c r="E6" s="22"/>
      <c r="F6" s="22"/>
      <c r="H6" s="20" t="s">
        <v>101</v>
      </c>
      <c r="I6" s="20">
        <f>COUNTIF($B$3:$B$82,"A04")</f>
        <v>0</v>
      </c>
      <c r="J6" s="20">
        <f>COUNTIFS($B$3:$B$82,"A04",$C$3:$C$82,"Completada")</f>
        <v>0</v>
      </c>
      <c r="K6" s="20">
        <f>COUNTIFS($B$3:$B$82,"A04",$C$3:$C$82,"Con ayuda")</f>
        <v>0</v>
      </c>
      <c r="L6" s="20">
        <f>COUNTIFS($B$3:$B$82,"A04",$C$3:$C$82,"No completada")</f>
        <v>0</v>
      </c>
      <c r="M6" s="21" t="str">
        <f>IFERROR(AVERAGEIFS($D$3:$D$82,$B$3:$B$82,"A04"),"")</f>
        <v/>
      </c>
    </row>
    <row r="7" spans="1:13" x14ac:dyDescent="0.3">
      <c r="A7" s="22"/>
      <c r="B7" s="22"/>
      <c r="C7" s="22"/>
      <c r="D7" s="23"/>
      <c r="E7" s="22"/>
      <c r="F7" s="22"/>
      <c r="H7" s="20" t="s">
        <v>102</v>
      </c>
      <c r="I7" s="20">
        <f>COUNTIF($B$3:$B$82,"A03")</f>
        <v>0</v>
      </c>
      <c r="J7" s="20">
        <f>COUNTIFS($B$3:$B$82,"A03",$C$3:$C$82,"Completada")</f>
        <v>0</v>
      </c>
      <c r="K7" s="20">
        <f>COUNTIFS($B$3:$B$82,"A03",$C$3:$C$82,"Con ayuda")</f>
        <v>0</v>
      </c>
      <c r="L7" s="20">
        <f>COUNTIFS($B$3:$B$82,"A03",$C$3:$C$82,"No completada")</f>
        <v>0</v>
      </c>
      <c r="M7" s="21" t="str">
        <f>IFERROR(AVERAGEIFS($D$3:$D$82,$B$3:$B$82,"A03"),"")</f>
        <v/>
      </c>
    </row>
    <row r="8" spans="1:13" x14ac:dyDescent="0.3">
      <c r="A8" s="22"/>
      <c r="B8" s="22"/>
      <c r="C8" s="22"/>
      <c r="D8" s="23"/>
      <c r="E8" s="22"/>
      <c r="F8" s="22"/>
    </row>
    <row r="9" spans="1:13" x14ac:dyDescent="0.3">
      <c r="A9" s="22"/>
      <c r="B9" s="22"/>
      <c r="C9" s="22"/>
      <c r="D9" s="23"/>
      <c r="E9" s="22"/>
      <c r="F9" s="22"/>
      <c r="H9" s="2" t="s">
        <v>103</v>
      </c>
    </row>
    <row r="10" spans="1:13" x14ac:dyDescent="0.3">
      <c r="A10" s="22"/>
      <c r="B10" s="22"/>
      <c r="C10" s="22"/>
      <c r="D10" s="23"/>
      <c r="E10" s="22"/>
      <c r="F10" s="22"/>
    </row>
    <row r="11" spans="1:13" x14ac:dyDescent="0.3">
      <c r="A11" s="22"/>
      <c r="B11" s="22"/>
      <c r="C11" s="22"/>
      <c r="D11" s="23"/>
      <c r="E11" s="22"/>
      <c r="F11" s="22"/>
    </row>
    <row r="12" spans="1:13" x14ac:dyDescent="0.3">
      <c r="A12" s="22"/>
      <c r="B12" s="22"/>
      <c r="C12" s="22"/>
      <c r="D12" s="23"/>
      <c r="E12" s="22"/>
      <c r="F12" s="22"/>
    </row>
    <row r="13" spans="1:13" x14ac:dyDescent="0.3">
      <c r="A13" s="22"/>
      <c r="B13" s="22"/>
      <c r="C13" s="22"/>
      <c r="D13" s="23"/>
      <c r="E13" s="22"/>
      <c r="F13" s="22"/>
    </row>
    <row r="14" spans="1:13" x14ac:dyDescent="0.3">
      <c r="A14" s="22"/>
      <c r="B14" s="22"/>
      <c r="C14" s="22"/>
      <c r="D14" s="23"/>
      <c r="E14" s="22"/>
      <c r="F14" s="22"/>
    </row>
    <row r="15" spans="1:13" x14ac:dyDescent="0.3">
      <c r="A15" s="22"/>
      <c r="B15" s="22"/>
      <c r="C15" s="22"/>
      <c r="D15" s="23"/>
      <c r="E15" s="22"/>
      <c r="F15" s="22"/>
    </row>
    <row r="16" spans="1:13" x14ac:dyDescent="0.3">
      <c r="A16" s="22"/>
      <c r="B16" s="22"/>
      <c r="C16" s="22"/>
      <c r="D16" s="23"/>
      <c r="E16" s="22"/>
      <c r="F16" s="22"/>
    </row>
    <row r="17" spans="1:6" x14ac:dyDescent="0.3">
      <c r="A17" s="22"/>
      <c r="B17" s="22"/>
      <c r="C17" s="22"/>
      <c r="D17" s="23"/>
      <c r="E17" s="22"/>
      <c r="F17" s="22"/>
    </row>
    <row r="18" spans="1:6" x14ac:dyDescent="0.3">
      <c r="A18" s="22"/>
      <c r="B18" s="22"/>
      <c r="C18" s="22"/>
      <c r="D18" s="23"/>
      <c r="E18" s="22"/>
      <c r="F18" s="22"/>
    </row>
    <row r="19" spans="1:6" x14ac:dyDescent="0.3">
      <c r="A19" s="22"/>
      <c r="B19" s="22"/>
      <c r="C19" s="22"/>
      <c r="D19" s="23"/>
      <c r="E19" s="22"/>
      <c r="F19" s="22"/>
    </row>
    <row r="20" spans="1:6" x14ac:dyDescent="0.3">
      <c r="A20" s="22"/>
      <c r="B20" s="22"/>
      <c r="C20" s="22"/>
      <c r="D20" s="23"/>
      <c r="E20" s="22"/>
      <c r="F20" s="22"/>
    </row>
    <row r="21" spans="1:6" x14ac:dyDescent="0.3">
      <c r="A21" s="22"/>
      <c r="B21" s="22"/>
      <c r="C21" s="22"/>
      <c r="D21" s="23"/>
      <c r="E21" s="22"/>
      <c r="F21" s="22"/>
    </row>
    <row r="22" spans="1:6" x14ac:dyDescent="0.3">
      <c r="A22" s="22"/>
      <c r="B22" s="22"/>
      <c r="C22" s="22"/>
      <c r="D22" s="23"/>
      <c r="E22" s="22"/>
      <c r="F22" s="22"/>
    </row>
    <row r="23" spans="1:6" x14ac:dyDescent="0.3">
      <c r="A23" s="22"/>
      <c r="B23" s="22"/>
      <c r="C23" s="22"/>
      <c r="D23" s="23"/>
      <c r="E23" s="22"/>
      <c r="F23" s="22"/>
    </row>
    <row r="24" spans="1:6" x14ac:dyDescent="0.3">
      <c r="A24" s="22"/>
      <c r="B24" s="22"/>
      <c r="C24" s="22"/>
      <c r="D24" s="23"/>
      <c r="E24" s="22"/>
      <c r="F24" s="22"/>
    </row>
    <row r="25" spans="1:6" x14ac:dyDescent="0.3">
      <c r="A25" s="22"/>
      <c r="B25" s="22"/>
      <c r="C25" s="22"/>
      <c r="D25" s="23"/>
      <c r="E25" s="22"/>
      <c r="F25" s="22"/>
    </row>
    <row r="26" spans="1:6" x14ac:dyDescent="0.3">
      <c r="A26" s="22"/>
      <c r="B26" s="22"/>
      <c r="C26" s="22"/>
      <c r="D26" s="23"/>
      <c r="E26" s="22"/>
      <c r="F26" s="22"/>
    </row>
    <row r="27" spans="1:6" x14ac:dyDescent="0.3">
      <c r="A27" s="22"/>
      <c r="B27" s="22"/>
      <c r="C27" s="22"/>
      <c r="D27" s="23"/>
      <c r="E27" s="22"/>
      <c r="F27" s="22"/>
    </row>
    <row r="28" spans="1:6" x14ac:dyDescent="0.3">
      <c r="A28" s="22"/>
      <c r="B28" s="22"/>
      <c r="C28" s="22"/>
      <c r="D28" s="23"/>
      <c r="E28" s="22"/>
      <c r="F28" s="22"/>
    </row>
    <row r="29" spans="1:6" x14ac:dyDescent="0.3">
      <c r="A29" s="22"/>
      <c r="B29" s="22"/>
      <c r="C29" s="22"/>
      <c r="D29" s="23"/>
      <c r="E29" s="22"/>
      <c r="F29" s="22"/>
    </row>
    <row r="30" spans="1:6" x14ac:dyDescent="0.3">
      <c r="A30" s="22"/>
      <c r="B30" s="22"/>
      <c r="C30" s="22"/>
      <c r="D30" s="23"/>
      <c r="E30" s="22"/>
      <c r="F30" s="22"/>
    </row>
    <row r="31" spans="1:6" x14ac:dyDescent="0.3">
      <c r="A31" s="22"/>
      <c r="B31" s="22"/>
      <c r="C31" s="22"/>
      <c r="D31" s="23"/>
      <c r="E31" s="22"/>
      <c r="F31" s="22"/>
    </row>
    <row r="32" spans="1:6" x14ac:dyDescent="0.3">
      <c r="A32" s="22"/>
      <c r="B32" s="22"/>
      <c r="C32" s="22"/>
      <c r="D32" s="23"/>
      <c r="E32" s="22"/>
      <c r="F32" s="22"/>
    </row>
    <row r="33" spans="1:6" x14ac:dyDescent="0.3">
      <c r="A33" s="22"/>
      <c r="B33" s="22"/>
      <c r="C33" s="22"/>
      <c r="D33" s="23"/>
      <c r="E33" s="22"/>
      <c r="F33" s="22"/>
    </row>
    <row r="34" spans="1:6" x14ac:dyDescent="0.3">
      <c r="A34" s="22"/>
      <c r="B34" s="22"/>
      <c r="C34" s="22"/>
      <c r="D34" s="23"/>
      <c r="E34" s="22"/>
      <c r="F34" s="22"/>
    </row>
    <row r="35" spans="1:6" x14ac:dyDescent="0.3">
      <c r="A35" s="22"/>
      <c r="B35" s="22"/>
      <c r="C35" s="22"/>
      <c r="D35" s="23"/>
      <c r="E35" s="22"/>
      <c r="F35" s="22"/>
    </row>
    <row r="36" spans="1:6" x14ac:dyDescent="0.3">
      <c r="A36" s="22"/>
      <c r="B36" s="22"/>
      <c r="C36" s="22"/>
      <c r="D36" s="23"/>
      <c r="E36" s="22"/>
      <c r="F36" s="22"/>
    </row>
    <row r="37" spans="1:6" x14ac:dyDescent="0.3">
      <c r="A37" s="22"/>
      <c r="B37" s="22"/>
      <c r="C37" s="22"/>
      <c r="D37" s="23"/>
      <c r="E37" s="22"/>
      <c r="F37" s="22"/>
    </row>
    <row r="38" spans="1:6" x14ac:dyDescent="0.3">
      <c r="A38" s="22"/>
      <c r="B38" s="22"/>
      <c r="C38" s="22"/>
      <c r="D38" s="23"/>
      <c r="E38" s="22"/>
      <c r="F38" s="22"/>
    </row>
    <row r="39" spans="1:6" x14ac:dyDescent="0.3">
      <c r="A39" s="22"/>
      <c r="B39" s="22"/>
      <c r="C39" s="22"/>
      <c r="D39" s="23"/>
      <c r="E39" s="22"/>
      <c r="F39" s="22"/>
    </row>
    <row r="40" spans="1:6" x14ac:dyDescent="0.3">
      <c r="A40" s="22"/>
      <c r="B40" s="22"/>
      <c r="C40" s="22"/>
      <c r="D40" s="23"/>
      <c r="E40" s="22"/>
      <c r="F40" s="22"/>
    </row>
    <row r="41" spans="1:6" x14ac:dyDescent="0.3">
      <c r="A41" s="22"/>
      <c r="B41" s="22"/>
      <c r="C41" s="22"/>
      <c r="D41" s="23"/>
      <c r="E41" s="22"/>
      <c r="F41" s="22"/>
    </row>
    <row r="42" spans="1:6" x14ac:dyDescent="0.3">
      <c r="A42" s="22"/>
      <c r="B42" s="22"/>
      <c r="C42" s="22"/>
      <c r="D42" s="23"/>
      <c r="E42" s="22"/>
      <c r="F42" s="22"/>
    </row>
    <row r="43" spans="1:6" x14ac:dyDescent="0.3">
      <c r="A43" s="22"/>
      <c r="B43" s="22"/>
      <c r="C43" s="22"/>
      <c r="D43" s="23"/>
      <c r="E43" s="22"/>
      <c r="F43" s="22"/>
    </row>
    <row r="44" spans="1:6" x14ac:dyDescent="0.3">
      <c r="A44" s="22"/>
      <c r="B44" s="22"/>
      <c r="C44" s="22"/>
      <c r="D44" s="23"/>
      <c r="E44" s="22"/>
      <c r="F44" s="22"/>
    </row>
    <row r="45" spans="1:6" x14ac:dyDescent="0.3">
      <c r="A45" s="22"/>
      <c r="B45" s="22"/>
      <c r="C45" s="22"/>
      <c r="D45" s="23"/>
      <c r="E45" s="22"/>
      <c r="F45" s="22"/>
    </row>
    <row r="46" spans="1:6" x14ac:dyDescent="0.3">
      <c r="A46" s="22"/>
      <c r="B46" s="22"/>
      <c r="C46" s="22"/>
      <c r="D46" s="23"/>
      <c r="E46" s="22"/>
      <c r="F46" s="22"/>
    </row>
    <row r="47" spans="1:6" x14ac:dyDescent="0.3">
      <c r="A47" s="22"/>
      <c r="B47" s="22"/>
      <c r="C47" s="22"/>
      <c r="D47" s="23"/>
      <c r="E47" s="22"/>
      <c r="F47" s="22"/>
    </row>
    <row r="48" spans="1:6" x14ac:dyDescent="0.3">
      <c r="A48" s="22"/>
      <c r="B48" s="22"/>
      <c r="C48" s="22"/>
      <c r="D48" s="23"/>
      <c r="E48" s="22"/>
      <c r="F48" s="22"/>
    </row>
    <row r="49" spans="1:6" x14ac:dyDescent="0.3">
      <c r="A49" s="22"/>
      <c r="B49" s="22"/>
      <c r="C49" s="22"/>
      <c r="D49" s="23"/>
      <c r="E49" s="22"/>
      <c r="F49" s="22"/>
    </row>
    <row r="50" spans="1:6" x14ac:dyDescent="0.3">
      <c r="A50" s="22"/>
      <c r="B50" s="22"/>
      <c r="C50" s="22"/>
      <c r="D50" s="23"/>
      <c r="E50" s="22"/>
      <c r="F50" s="22"/>
    </row>
    <row r="51" spans="1:6" x14ac:dyDescent="0.3">
      <c r="A51" s="22"/>
      <c r="B51" s="22"/>
      <c r="C51" s="22"/>
      <c r="D51" s="23"/>
      <c r="E51" s="22"/>
      <c r="F51" s="22"/>
    </row>
    <row r="52" spans="1:6" x14ac:dyDescent="0.3">
      <c r="A52" s="22"/>
      <c r="B52" s="22"/>
      <c r="C52" s="22"/>
      <c r="D52" s="23"/>
      <c r="E52" s="22"/>
      <c r="F52" s="22"/>
    </row>
    <row r="53" spans="1:6" x14ac:dyDescent="0.3">
      <c r="A53" s="22"/>
      <c r="B53" s="22"/>
      <c r="C53" s="22"/>
      <c r="D53" s="23"/>
      <c r="E53" s="22"/>
      <c r="F53" s="22"/>
    </row>
    <row r="54" spans="1:6" x14ac:dyDescent="0.3">
      <c r="A54" s="22"/>
      <c r="B54" s="22"/>
      <c r="C54" s="22"/>
      <c r="D54" s="23"/>
      <c r="E54" s="22"/>
      <c r="F54" s="22"/>
    </row>
    <row r="55" spans="1:6" x14ac:dyDescent="0.3">
      <c r="A55" s="22"/>
      <c r="B55" s="22"/>
      <c r="C55" s="22"/>
      <c r="D55" s="23"/>
      <c r="E55" s="22"/>
      <c r="F55" s="22"/>
    </row>
    <row r="56" spans="1:6" x14ac:dyDescent="0.3">
      <c r="A56" s="22"/>
      <c r="B56" s="22"/>
      <c r="C56" s="22"/>
      <c r="D56" s="23"/>
      <c r="E56" s="22"/>
      <c r="F56" s="22"/>
    </row>
    <row r="57" spans="1:6" x14ac:dyDescent="0.3">
      <c r="A57" s="22"/>
      <c r="B57" s="22"/>
      <c r="C57" s="22"/>
      <c r="D57" s="23"/>
      <c r="E57" s="22"/>
      <c r="F57" s="22"/>
    </row>
    <row r="58" spans="1:6" x14ac:dyDescent="0.3">
      <c r="A58" s="22"/>
      <c r="B58" s="22"/>
      <c r="C58" s="22"/>
      <c r="D58" s="23"/>
      <c r="E58" s="22"/>
      <c r="F58" s="22"/>
    </row>
    <row r="59" spans="1:6" x14ac:dyDescent="0.3">
      <c r="A59" s="22"/>
      <c r="B59" s="22"/>
      <c r="C59" s="22"/>
      <c r="D59" s="23"/>
      <c r="E59" s="22"/>
      <c r="F59" s="22"/>
    </row>
    <row r="60" spans="1:6" x14ac:dyDescent="0.3">
      <c r="A60" s="22"/>
      <c r="B60" s="22"/>
      <c r="C60" s="22"/>
      <c r="D60" s="23"/>
      <c r="E60" s="22"/>
      <c r="F60" s="22"/>
    </row>
    <row r="61" spans="1:6" x14ac:dyDescent="0.3">
      <c r="A61" s="22"/>
      <c r="B61" s="22"/>
      <c r="C61" s="22"/>
      <c r="D61" s="23"/>
      <c r="E61" s="22"/>
      <c r="F61" s="22"/>
    </row>
    <row r="62" spans="1:6" x14ac:dyDescent="0.3">
      <c r="A62" s="22"/>
      <c r="B62" s="22"/>
      <c r="C62" s="22"/>
      <c r="D62" s="23"/>
      <c r="E62" s="22"/>
      <c r="F62" s="22"/>
    </row>
    <row r="63" spans="1:6" x14ac:dyDescent="0.3">
      <c r="A63" s="22"/>
      <c r="B63" s="22"/>
      <c r="C63" s="22"/>
      <c r="D63" s="23"/>
      <c r="E63" s="22"/>
      <c r="F63" s="22"/>
    </row>
    <row r="64" spans="1:6" x14ac:dyDescent="0.3">
      <c r="A64" s="22"/>
      <c r="B64" s="22"/>
      <c r="C64" s="22"/>
      <c r="D64" s="23"/>
      <c r="E64" s="22"/>
      <c r="F64" s="22"/>
    </row>
    <row r="65" spans="1:6" x14ac:dyDescent="0.3">
      <c r="A65" s="22"/>
      <c r="B65" s="22"/>
      <c r="C65" s="22"/>
      <c r="D65" s="23"/>
      <c r="E65" s="22"/>
      <c r="F65" s="22"/>
    </row>
    <row r="66" spans="1:6" x14ac:dyDescent="0.3">
      <c r="A66" s="22"/>
      <c r="B66" s="22"/>
      <c r="C66" s="22"/>
      <c r="D66" s="23"/>
      <c r="E66" s="22"/>
      <c r="F66" s="22"/>
    </row>
    <row r="67" spans="1:6" x14ac:dyDescent="0.3">
      <c r="A67" s="22"/>
      <c r="B67" s="22"/>
      <c r="C67" s="22"/>
      <c r="D67" s="23"/>
      <c r="E67" s="22"/>
      <c r="F67" s="22"/>
    </row>
    <row r="68" spans="1:6" x14ac:dyDescent="0.3">
      <c r="A68" s="22"/>
      <c r="B68" s="22"/>
      <c r="C68" s="22"/>
      <c r="D68" s="23"/>
      <c r="E68" s="22"/>
      <c r="F68" s="22"/>
    </row>
    <row r="69" spans="1:6" x14ac:dyDescent="0.3">
      <c r="A69" s="22"/>
      <c r="B69" s="22"/>
      <c r="C69" s="22"/>
      <c r="D69" s="23"/>
      <c r="E69" s="22"/>
      <c r="F69" s="22"/>
    </row>
    <row r="70" spans="1:6" x14ac:dyDescent="0.3">
      <c r="A70" s="22"/>
      <c r="B70" s="22"/>
      <c r="C70" s="22"/>
      <c r="D70" s="23"/>
      <c r="E70" s="22"/>
      <c r="F70" s="22"/>
    </row>
    <row r="71" spans="1:6" x14ac:dyDescent="0.3">
      <c r="A71" s="22"/>
      <c r="B71" s="22"/>
      <c r="C71" s="22"/>
      <c r="D71" s="23"/>
      <c r="E71" s="22"/>
      <c r="F71" s="22"/>
    </row>
    <row r="72" spans="1:6" x14ac:dyDescent="0.3">
      <c r="A72" s="22"/>
      <c r="B72" s="22"/>
      <c r="C72" s="22"/>
      <c r="D72" s="23"/>
      <c r="E72" s="22"/>
      <c r="F72" s="22"/>
    </row>
    <row r="73" spans="1:6" x14ac:dyDescent="0.3">
      <c r="A73" s="22"/>
      <c r="B73" s="22"/>
      <c r="C73" s="22"/>
      <c r="D73" s="23"/>
      <c r="E73" s="22"/>
      <c r="F73" s="22"/>
    </row>
    <row r="74" spans="1:6" x14ac:dyDescent="0.3">
      <c r="A74" s="22"/>
      <c r="B74" s="22"/>
      <c r="C74" s="22"/>
      <c r="D74" s="23"/>
      <c r="E74" s="22"/>
      <c r="F74" s="22"/>
    </row>
    <row r="75" spans="1:6" x14ac:dyDescent="0.3">
      <c r="A75" s="22"/>
      <c r="B75" s="22"/>
      <c r="C75" s="22"/>
      <c r="D75" s="23"/>
      <c r="E75" s="22"/>
      <c r="F75" s="22"/>
    </row>
    <row r="76" spans="1:6" x14ac:dyDescent="0.3">
      <c r="A76" s="22"/>
      <c r="B76" s="22"/>
      <c r="C76" s="22"/>
      <c r="D76" s="23"/>
      <c r="E76" s="22"/>
      <c r="F76" s="22"/>
    </row>
    <row r="77" spans="1:6" x14ac:dyDescent="0.3">
      <c r="A77" s="22"/>
      <c r="B77" s="22"/>
      <c r="C77" s="22"/>
      <c r="D77" s="23"/>
      <c r="E77" s="22"/>
      <c r="F77" s="22"/>
    </row>
    <row r="78" spans="1:6" x14ac:dyDescent="0.3">
      <c r="A78" s="22"/>
      <c r="B78" s="22"/>
      <c r="C78" s="22"/>
      <c r="D78" s="23"/>
      <c r="E78" s="22"/>
      <c r="F78" s="22"/>
    </row>
    <row r="79" spans="1:6" x14ac:dyDescent="0.3">
      <c r="A79" s="22"/>
      <c r="B79" s="22"/>
      <c r="C79" s="22"/>
      <c r="D79" s="23"/>
      <c r="E79" s="22"/>
      <c r="F79" s="22"/>
    </row>
    <row r="80" spans="1:6" x14ac:dyDescent="0.3">
      <c r="A80" s="22"/>
      <c r="B80" s="22"/>
      <c r="C80" s="22"/>
      <c r="D80" s="23"/>
      <c r="E80" s="22"/>
      <c r="F80" s="22"/>
    </row>
    <row r="81" spans="1:6" x14ac:dyDescent="0.3">
      <c r="A81" s="22"/>
      <c r="B81" s="22"/>
      <c r="C81" s="22"/>
      <c r="D81" s="23"/>
      <c r="E81" s="22"/>
      <c r="F81" s="22"/>
    </row>
    <row r="82" spans="1:6" x14ac:dyDescent="0.3">
      <c r="A82" s="22"/>
      <c r="B82" s="22"/>
      <c r="C82" s="22"/>
      <c r="D82" s="23"/>
      <c r="E82" s="22"/>
      <c r="F82" s="22"/>
    </row>
  </sheetData>
  <dataValidations count="2">
    <dataValidation type="list" allowBlank="1" sqref="B3:B82" xr:uid="{00000000-0002-0000-0300-000000000000}">
      <formula1>"M03,M05,M06,M08,A04,A03"</formula1>
    </dataValidation>
    <dataValidation type="list" allowBlank="1" sqref="C3:C82" xr:uid="{00000000-0002-0000-0300-000001000000}">
      <formula1>"Completada,Con ayuda,No completada"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K62"/>
  <sheetViews>
    <sheetView showGridLines="0" tabSelected="1" workbookViewId="0">
      <pane ySplit="1" topLeftCell="A2" activePane="bottomLeft" state="frozen"/>
      <selection pane="bottomLeft" activeCell="G3" sqref="G3"/>
    </sheetView>
  </sheetViews>
  <sheetFormatPr baseColWidth="10" defaultColWidth="8.88671875" defaultRowHeight="14.4" x14ac:dyDescent="0.3"/>
  <cols>
    <col min="1" max="1" width="6" customWidth="1"/>
    <col min="2" max="2" width="14" customWidth="1"/>
    <col min="3" max="3" width="24" customWidth="1"/>
    <col min="4" max="4" width="60" customWidth="1"/>
    <col min="5" max="5" width="12" customWidth="1"/>
    <col min="6" max="7" width="18" customWidth="1"/>
    <col min="8" max="8" width="14" customWidth="1"/>
    <col min="10" max="10" width="24" customWidth="1"/>
    <col min="11" max="11" width="10" customWidth="1"/>
  </cols>
  <sheetData>
    <row r="1" spans="1:11" ht="42" customHeight="1" x14ac:dyDescent="0.3">
      <c r="A1" s="10" t="s">
        <v>29</v>
      </c>
      <c r="B1" s="10" t="s">
        <v>82</v>
      </c>
      <c r="C1" s="10" t="s">
        <v>104</v>
      </c>
      <c r="D1" s="10" t="s">
        <v>105</v>
      </c>
      <c r="E1" s="10" t="s">
        <v>106</v>
      </c>
      <c r="F1" s="10" t="s">
        <v>107</v>
      </c>
      <c r="G1" s="10" t="s">
        <v>108</v>
      </c>
      <c r="H1" s="10" t="s">
        <v>109</v>
      </c>
      <c r="J1" s="3" t="s">
        <v>110</v>
      </c>
      <c r="K1" s="4"/>
    </row>
    <row r="2" spans="1:11" x14ac:dyDescent="0.3">
      <c r="A2" s="19">
        <v>0</v>
      </c>
      <c r="B2" s="19" t="s">
        <v>60</v>
      </c>
      <c r="C2" s="19" t="s">
        <v>111</v>
      </c>
      <c r="D2" s="19" t="s">
        <v>112</v>
      </c>
      <c r="E2" s="19" t="s">
        <v>74</v>
      </c>
      <c r="F2" s="19" t="s">
        <v>113</v>
      </c>
      <c r="G2" s="19" t="s">
        <v>114</v>
      </c>
      <c r="H2" s="19" t="s">
        <v>115</v>
      </c>
      <c r="J2" s="18" t="s">
        <v>116</v>
      </c>
      <c r="K2" s="24">
        <f>COUNTA(D3:D62)</f>
        <v>2</v>
      </c>
    </row>
    <row r="3" spans="1:11" ht="26.4" x14ac:dyDescent="0.3">
      <c r="A3" s="22">
        <v>1</v>
      </c>
      <c r="B3" s="22" t="s">
        <v>63</v>
      </c>
      <c r="C3" s="22" t="s">
        <v>111</v>
      </c>
      <c r="D3" s="22" t="s">
        <v>126</v>
      </c>
      <c r="E3" s="22" t="s">
        <v>74</v>
      </c>
      <c r="F3" s="22" t="s">
        <v>127</v>
      </c>
      <c r="G3" s="22"/>
      <c r="H3" s="22" t="s">
        <v>115</v>
      </c>
      <c r="J3" s="18" t="s">
        <v>117</v>
      </c>
      <c r="K3" s="24">
        <f>COUNTIF(E3:E62,"Alta")</f>
        <v>0</v>
      </c>
    </row>
    <row r="4" spans="1:11" ht="26.4" x14ac:dyDescent="0.3">
      <c r="A4" s="22">
        <v>2</v>
      </c>
      <c r="B4" s="22" t="s">
        <v>58</v>
      </c>
      <c r="C4" s="22" t="s">
        <v>111</v>
      </c>
      <c r="D4" s="22" t="s">
        <v>126</v>
      </c>
      <c r="E4" s="22" t="s">
        <v>74</v>
      </c>
      <c r="F4" s="22" t="s">
        <v>127</v>
      </c>
      <c r="G4" s="22"/>
      <c r="H4" s="22" t="s">
        <v>115</v>
      </c>
      <c r="J4" s="18" t="s">
        <v>118</v>
      </c>
      <c r="K4" s="24">
        <f>COUNTIF(E3:E62,"Media")</f>
        <v>2</v>
      </c>
    </row>
    <row r="5" spans="1:11" x14ac:dyDescent="0.3">
      <c r="A5" s="22">
        <v>3</v>
      </c>
      <c r="B5" s="22"/>
      <c r="C5" s="22"/>
      <c r="D5" s="22"/>
      <c r="E5" s="22"/>
      <c r="F5" s="22"/>
      <c r="G5" s="22"/>
      <c r="H5" s="22"/>
      <c r="J5" s="18" t="s">
        <v>119</v>
      </c>
      <c r="K5" s="24">
        <f>COUNTIF(E3:E62,"Baja")</f>
        <v>0</v>
      </c>
    </row>
    <row r="6" spans="1:11" x14ac:dyDescent="0.3">
      <c r="A6" s="22">
        <v>4</v>
      </c>
      <c r="B6" s="22"/>
      <c r="C6" s="22"/>
      <c r="D6" s="22"/>
      <c r="E6" s="22"/>
      <c r="F6" s="22"/>
      <c r="G6" s="22"/>
      <c r="H6" s="22"/>
      <c r="J6" s="18" t="s">
        <v>120</v>
      </c>
      <c r="K6" s="24">
        <f>COUNTIF(H3:H62,"Abierto")</f>
        <v>2</v>
      </c>
    </row>
    <row r="7" spans="1:11" x14ac:dyDescent="0.3">
      <c r="A7" s="22">
        <v>5</v>
      </c>
      <c r="B7" s="22"/>
      <c r="C7" s="22"/>
      <c r="D7" s="22"/>
      <c r="E7" s="22"/>
      <c r="F7" s="22"/>
      <c r="G7" s="22"/>
      <c r="H7" s="22"/>
      <c r="J7" s="18" t="s">
        <v>121</v>
      </c>
      <c r="K7" s="24">
        <f>COUNTIF(H3:H62,"Corregido")+COUNTIF(H3:H62,"Verificado")</f>
        <v>0</v>
      </c>
    </row>
    <row r="8" spans="1:11" x14ac:dyDescent="0.3">
      <c r="A8" s="22">
        <v>6</v>
      </c>
      <c r="B8" s="22"/>
      <c r="C8" s="22"/>
      <c r="D8" s="22"/>
      <c r="E8" s="22"/>
      <c r="F8" s="22"/>
      <c r="G8" s="22"/>
      <c r="H8" s="22"/>
    </row>
    <row r="9" spans="1:11" x14ac:dyDescent="0.3">
      <c r="A9" s="22">
        <v>7</v>
      </c>
      <c r="B9" s="22"/>
      <c r="C9" s="22"/>
      <c r="D9" s="22"/>
      <c r="E9" s="22"/>
      <c r="F9" s="22"/>
      <c r="G9" s="22"/>
      <c r="H9" s="22"/>
    </row>
    <row r="10" spans="1:11" x14ac:dyDescent="0.3">
      <c r="A10" s="22">
        <v>8</v>
      </c>
      <c r="B10" s="22"/>
      <c r="C10" s="22"/>
      <c r="D10" s="22"/>
      <c r="E10" s="22"/>
      <c r="F10" s="22"/>
      <c r="G10" s="22"/>
      <c r="H10" s="22"/>
    </row>
    <row r="11" spans="1:11" x14ac:dyDescent="0.3">
      <c r="A11" s="22">
        <v>9</v>
      </c>
      <c r="B11" s="22"/>
      <c r="C11" s="22"/>
      <c r="D11" s="22"/>
      <c r="E11" s="22"/>
      <c r="F11" s="22"/>
      <c r="G11" s="22"/>
      <c r="H11" s="22"/>
    </row>
    <row r="12" spans="1:11" x14ac:dyDescent="0.3">
      <c r="A12" s="22">
        <v>10</v>
      </c>
      <c r="B12" s="22"/>
      <c r="C12" s="22"/>
      <c r="D12" s="22"/>
      <c r="E12" s="22"/>
      <c r="F12" s="22"/>
      <c r="G12" s="22"/>
      <c r="H12" s="22"/>
    </row>
    <row r="13" spans="1:11" x14ac:dyDescent="0.3">
      <c r="A13" s="22">
        <v>11</v>
      </c>
      <c r="B13" s="22"/>
      <c r="C13" s="22"/>
      <c r="D13" s="22"/>
      <c r="E13" s="22"/>
      <c r="F13" s="22"/>
      <c r="G13" s="22"/>
      <c r="H13" s="22"/>
    </row>
    <row r="14" spans="1:11" x14ac:dyDescent="0.3">
      <c r="A14" s="22">
        <v>12</v>
      </c>
      <c r="B14" s="22"/>
      <c r="C14" s="22"/>
      <c r="D14" s="22"/>
      <c r="E14" s="22"/>
      <c r="F14" s="22"/>
      <c r="G14" s="22"/>
      <c r="H14" s="22"/>
    </row>
    <row r="15" spans="1:11" x14ac:dyDescent="0.3">
      <c r="A15" s="22">
        <v>13</v>
      </c>
      <c r="B15" s="22"/>
      <c r="C15" s="22"/>
      <c r="D15" s="22"/>
      <c r="E15" s="22"/>
      <c r="F15" s="22"/>
      <c r="G15" s="22"/>
      <c r="H15" s="22"/>
    </row>
    <row r="16" spans="1:11" x14ac:dyDescent="0.3">
      <c r="A16" s="22">
        <v>14</v>
      </c>
      <c r="B16" s="22"/>
      <c r="C16" s="22"/>
      <c r="D16" s="22"/>
      <c r="E16" s="22"/>
      <c r="F16" s="22"/>
      <c r="G16" s="22"/>
      <c r="H16" s="22"/>
    </row>
    <row r="17" spans="1:8" x14ac:dyDescent="0.3">
      <c r="A17" s="22">
        <v>15</v>
      </c>
      <c r="B17" s="22"/>
      <c r="C17" s="22"/>
      <c r="D17" s="22"/>
      <c r="E17" s="22"/>
      <c r="F17" s="22"/>
      <c r="G17" s="22"/>
      <c r="H17" s="22"/>
    </row>
    <row r="18" spans="1:8" x14ac:dyDescent="0.3">
      <c r="A18" s="22">
        <v>16</v>
      </c>
      <c r="B18" s="22"/>
      <c r="C18" s="22"/>
      <c r="D18" s="22"/>
      <c r="E18" s="22"/>
      <c r="F18" s="22"/>
      <c r="G18" s="22"/>
      <c r="H18" s="22"/>
    </row>
    <row r="19" spans="1:8" x14ac:dyDescent="0.3">
      <c r="A19" s="22">
        <v>17</v>
      </c>
      <c r="B19" s="22"/>
      <c r="C19" s="22"/>
      <c r="D19" s="22"/>
      <c r="E19" s="22"/>
      <c r="F19" s="22"/>
      <c r="G19" s="22"/>
      <c r="H19" s="22"/>
    </row>
    <row r="20" spans="1:8" x14ac:dyDescent="0.3">
      <c r="A20" s="22">
        <v>18</v>
      </c>
      <c r="B20" s="22"/>
      <c r="C20" s="22"/>
      <c r="D20" s="22"/>
      <c r="E20" s="22"/>
      <c r="F20" s="22"/>
      <c r="G20" s="22"/>
      <c r="H20" s="22"/>
    </row>
    <row r="21" spans="1:8" x14ac:dyDescent="0.3">
      <c r="A21" s="22">
        <v>19</v>
      </c>
      <c r="B21" s="22"/>
      <c r="C21" s="22"/>
      <c r="D21" s="22"/>
      <c r="E21" s="22"/>
      <c r="F21" s="22"/>
      <c r="G21" s="22"/>
      <c r="H21" s="22"/>
    </row>
    <row r="22" spans="1:8" x14ac:dyDescent="0.3">
      <c r="A22" s="22">
        <v>20</v>
      </c>
      <c r="B22" s="22"/>
      <c r="C22" s="22"/>
      <c r="D22" s="22"/>
      <c r="E22" s="22"/>
      <c r="F22" s="22"/>
      <c r="G22" s="22"/>
      <c r="H22" s="22"/>
    </row>
    <row r="23" spans="1:8" x14ac:dyDescent="0.3">
      <c r="A23" s="22">
        <v>21</v>
      </c>
      <c r="B23" s="22"/>
      <c r="C23" s="22"/>
      <c r="D23" s="22"/>
      <c r="E23" s="22"/>
      <c r="F23" s="22"/>
      <c r="G23" s="22"/>
      <c r="H23" s="22"/>
    </row>
    <row r="24" spans="1:8" x14ac:dyDescent="0.3">
      <c r="A24" s="22">
        <v>22</v>
      </c>
      <c r="B24" s="22"/>
      <c r="C24" s="22"/>
      <c r="D24" s="22"/>
      <c r="E24" s="22"/>
      <c r="F24" s="22"/>
      <c r="G24" s="22"/>
      <c r="H24" s="22"/>
    </row>
    <row r="25" spans="1:8" x14ac:dyDescent="0.3">
      <c r="A25" s="22">
        <v>23</v>
      </c>
      <c r="B25" s="22"/>
      <c r="C25" s="22"/>
      <c r="D25" s="22"/>
      <c r="E25" s="22"/>
      <c r="F25" s="22"/>
      <c r="G25" s="22"/>
      <c r="H25" s="22"/>
    </row>
    <row r="26" spans="1:8" x14ac:dyDescent="0.3">
      <c r="A26" s="22">
        <v>24</v>
      </c>
      <c r="B26" s="22"/>
      <c r="C26" s="22"/>
      <c r="D26" s="22"/>
      <c r="E26" s="22"/>
      <c r="F26" s="22"/>
      <c r="G26" s="22"/>
      <c r="H26" s="22"/>
    </row>
    <row r="27" spans="1:8" x14ac:dyDescent="0.3">
      <c r="A27" s="22">
        <v>25</v>
      </c>
      <c r="B27" s="22"/>
      <c r="C27" s="22"/>
      <c r="D27" s="22"/>
      <c r="E27" s="22"/>
      <c r="F27" s="22"/>
      <c r="G27" s="22"/>
      <c r="H27" s="22"/>
    </row>
    <row r="28" spans="1:8" x14ac:dyDescent="0.3">
      <c r="A28" s="22">
        <v>26</v>
      </c>
      <c r="B28" s="22"/>
      <c r="C28" s="22"/>
      <c r="D28" s="22"/>
      <c r="E28" s="22"/>
      <c r="F28" s="22"/>
      <c r="G28" s="22"/>
      <c r="H28" s="22"/>
    </row>
    <row r="29" spans="1:8" x14ac:dyDescent="0.3">
      <c r="A29" s="22">
        <v>27</v>
      </c>
      <c r="B29" s="22"/>
      <c r="C29" s="22"/>
      <c r="D29" s="22"/>
      <c r="E29" s="22"/>
      <c r="F29" s="22"/>
      <c r="G29" s="22"/>
      <c r="H29" s="22"/>
    </row>
    <row r="30" spans="1:8" x14ac:dyDescent="0.3">
      <c r="A30" s="22">
        <v>28</v>
      </c>
      <c r="B30" s="22"/>
      <c r="C30" s="22"/>
      <c r="D30" s="22"/>
      <c r="E30" s="22"/>
      <c r="F30" s="22"/>
      <c r="G30" s="22"/>
      <c r="H30" s="22"/>
    </row>
    <row r="31" spans="1:8" x14ac:dyDescent="0.3">
      <c r="A31" s="22">
        <v>29</v>
      </c>
      <c r="B31" s="22"/>
      <c r="C31" s="22"/>
      <c r="D31" s="22"/>
      <c r="E31" s="22"/>
      <c r="F31" s="22"/>
      <c r="G31" s="22"/>
      <c r="H31" s="22"/>
    </row>
    <row r="32" spans="1:8" x14ac:dyDescent="0.3">
      <c r="A32" s="22">
        <v>30</v>
      </c>
      <c r="B32" s="22"/>
      <c r="C32" s="22"/>
      <c r="D32" s="22"/>
      <c r="E32" s="22"/>
      <c r="F32" s="22"/>
      <c r="G32" s="22"/>
      <c r="H32" s="22"/>
    </row>
    <row r="33" spans="1:8" x14ac:dyDescent="0.3">
      <c r="A33" s="22">
        <v>31</v>
      </c>
      <c r="B33" s="22"/>
      <c r="C33" s="22"/>
      <c r="D33" s="22"/>
      <c r="E33" s="22"/>
      <c r="F33" s="22"/>
      <c r="G33" s="22"/>
      <c r="H33" s="22"/>
    </row>
    <row r="34" spans="1:8" x14ac:dyDescent="0.3">
      <c r="A34" s="22">
        <v>32</v>
      </c>
      <c r="B34" s="22"/>
      <c r="C34" s="22"/>
      <c r="D34" s="22"/>
      <c r="E34" s="22"/>
      <c r="F34" s="22"/>
      <c r="G34" s="22"/>
      <c r="H34" s="22"/>
    </row>
    <row r="35" spans="1:8" x14ac:dyDescent="0.3">
      <c r="A35" s="22">
        <v>33</v>
      </c>
      <c r="B35" s="22"/>
      <c r="C35" s="22"/>
      <c r="D35" s="22"/>
      <c r="E35" s="22"/>
      <c r="F35" s="22"/>
      <c r="G35" s="22"/>
      <c r="H35" s="22"/>
    </row>
    <row r="36" spans="1:8" x14ac:dyDescent="0.3">
      <c r="A36" s="22">
        <v>34</v>
      </c>
      <c r="B36" s="22"/>
      <c r="C36" s="22"/>
      <c r="D36" s="22"/>
      <c r="E36" s="22"/>
      <c r="F36" s="22"/>
      <c r="G36" s="22"/>
      <c r="H36" s="22"/>
    </row>
    <row r="37" spans="1:8" x14ac:dyDescent="0.3">
      <c r="A37" s="22">
        <v>35</v>
      </c>
      <c r="B37" s="22"/>
      <c r="C37" s="22"/>
      <c r="D37" s="22"/>
      <c r="E37" s="22"/>
      <c r="F37" s="22"/>
      <c r="G37" s="22"/>
      <c r="H37" s="22"/>
    </row>
    <row r="38" spans="1:8" x14ac:dyDescent="0.3">
      <c r="A38" s="22">
        <v>36</v>
      </c>
      <c r="B38" s="22"/>
      <c r="C38" s="22"/>
      <c r="D38" s="22"/>
      <c r="E38" s="22"/>
      <c r="F38" s="22"/>
      <c r="G38" s="22"/>
      <c r="H38" s="22"/>
    </row>
    <row r="39" spans="1:8" x14ac:dyDescent="0.3">
      <c r="A39" s="22">
        <v>37</v>
      </c>
      <c r="B39" s="22"/>
      <c r="C39" s="22"/>
      <c r="D39" s="22"/>
      <c r="E39" s="22"/>
      <c r="F39" s="22"/>
      <c r="G39" s="22"/>
      <c r="H39" s="22"/>
    </row>
    <row r="40" spans="1:8" x14ac:dyDescent="0.3">
      <c r="A40" s="22">
        <v>38</v>
      </c>
      <c r="B40" s="22"/>
      <c r="C40" s="22"/>
      <c r="D40" s="22"/>
      <c r="E40" s="22"/>
      <c r="F40" s="22"/>
      <c r="G40" s="22"/>
      <c r="H40" s="22"/>
    </row>
    <row r="41" spans="1:8" x14ac:dyDescent="0.3">
      <c r="A41" s="22">
        <v>39</v>
      </c>
      <c r="B41" s="22"/>
      <c r="C41" s="22"/>
      <c r="D41" s="22"/>
      <c r="E41" s="22"/>
      <c r="F41" s="22"/>
      <c r="G41" s="22"/>
      <c r="H41" s="22"/>
    </row>
    <row r="42" spans="1:8" x14ac:dyDescent="0.3">
      <c r="A42" s="22">
        <v>40</v>
      </c>
      <c r="B42" s="22"/>
      <c r="C42" s="22"/>
      <c r="D42" s="22"/>
      <c r="E42" s="22"/>
      <c r="F42" s="22"/>
      <c r="G42" s="22"/>
      <c r="H42" s="22"/>
    </row>
    <row r="43" spans="1:8" x14ac:dyDescent="0.3">
      <c r="A43" s="22">
        <v>41</v>
      </c>
      <c r="B43" s="22"/>
      <c r="C43" s="22"/>
      <c r="D43" s="22"/>
      <c r="E43" s="22"/>
      <c r="F43" s="22"/>
      <c r="G43" s="22"/>
      <c r="H43" s="22"/>
    </row>
    <row r="44" spans="1:8" x14ac:dyDescent="0.3">
      <c r="A44" s="22">
        <v>42</v>
      </c>
      <c r="B44" s="22"/>
      <c r="C44" s="22"/>
      <c r="D44" s="22"/>
      <c r="E44" s="22"/>
      <c r="F44" s="22"/>
      <c r="G44" s="22"/>
      <c r="H44" s="22"/>
    </row>
    <row r="45" spans="1:8" x14ac:dyDescent="0.3">
      <c r="A45" s="22">
        <v>43</v>
      </c>
      <c r="B45" s="22"/>
      <c r="C45" s="22"/>
      <c r="D45" s="22"/>
      <c r="E45" s="22"/>
      <c r="F45" s="22"/>
      <c r="G45" s="22"/>
      <c r="H45" s="22"/>
    </row>
    <row r="46" spans="1:8" x14ac:dyDescent="0.3">
      <c r="A46" s="22">
        <v>44</v>
      </c>
      <c r="B46" s="22"/>
      <c r="C46" s="22"/>
      <c r="D46" s="22"/>
      <c r="E46" s="22"/>
      <c r="F46" s="22"/>
      <c r="G46" s="22"/>
      <c r="H46" s="22"/>
    </row>
    <row r="47" spans="1:8" x14ac:dyDescent="0.3">
      <c r="A47" s="22">
        <v>45</v>
      </c>
      <c r="B47" s="22"/>
      <c r="C47" s="22"/>
      <c r="D47" s="22"/>
      <c r="E47" s="22"/>
      <c r="F47" s="22"/>
      <c r="G47" s="22"/>
      <c r="H47" s="22"/>
    </row>
    <row r="48" spans="1:8" x14ac:dyDescent="0.3">
      <c r="A48" s="22">
        <v>46</v>
      </c>
      <c r="B48" s="22"/>
      <c r="C48" s="22"/>
      <c r="D48" s="22"/>
      <c r="E48" s="22"/>
      <c r="F48" s="22"/>
      <c r="G48" s="22"/>
      <c r="H48" s="22"/>
    </row>
    <row r="49" spans="1:8" x14ac:dyDescent="0.3">
      <c r="A49" s="22">
        <v>47</v>
      </c>
      <c r="B49" s="22"/>
      <c r="C49" s="22"/>
      <c r="D49" s="22"/>
      <c r="E49" s="22"/>
      <c r="F49" s="22"/>
      <c r="G49" s="22"/>
      <c r="H49" s="22"/>
    </row>
    <row r="50" spans="1:8" x14ac:dyDescent="0.3">
      <c r="A50" s="22">
        <v>48</v>
      </c>
      <c r="B50" s="22"/>
      <c r="C50" s="22"/>
      <c r="D50" s="22"/>
      <c r="E50" s="22"/>
      <c r="F50" s="22"/>
      <c r="G50" s="22"/>
      <c r="H50" s="22"/>
    </row>
    <row r="51" spans="1:8" x14ac:dyDescent="0.3">
      <c r="A51" s="22">
        <v>49</v>
      </c>
      <c r="B51" s="22"/>
      <c r="C51" s="22"/>
      <c r="D51" s="22"/>
      <c r="E51" s="22"/>
      <c r="F51" s="22"/>
      <c r="G51" s="22"/>
      <c r="H51" s="22"/>
    </row>
    <row r="52" spans="1:8" x14ac:dyDescent="0.3">
      <c r="A52" s="22">
        <v>50</v>
      </c>
      <c r="B52" s="22"/>
      <c r="C52" s="22"/>
      <c r="D52" s="22"/>
      <c r="E52" s="22"/>
      <c r="F52" s="22"/>
      <c r="G52" s="22"/>
      <c r="H52" s="22"/>
    </row>
    <row r="53" spans="1:8" x14ac:dyDescent="0.3">
      <c r="A53" s="22">
        <v>51</v>
      </c>
      <c r="B53" s="22"/>
      <c r="C53" s="22"/>
      <c r="D53" s="22"/>
      <c r="E53" s="22"/>
      <c r="F53" s="22"/>
      <c r="G53" s="22"/>
      <c r="H53" s="22"/>
    </row>
    <row r="54" spans="1:8" x14ac:dyDescent="0.3">
      <c r="A54" s="22">
        <v>52</v>
      </c>
      <c r="B54" s="22"/>
      <c r="C54" s="22"/>
      <c r="D54" s="22"/>
      <c r="E54" s="22"/>
      <c r="F54" s="22"/>
      <c r="G54" s="22"/>
      <c r="H54" s="22"/>
    </row>
    <row r="55" spans="1:8" x14ac:dyDescent="0.3">
      <c r="A55" s="22">
        <v>53</v>
      </c>
      <c r="B55" s="22"/>
      <c r="C55" s="22"/>
      <c r="D55" s="22"/>
      <c r="E55" s="22"/>
      <c r="F55" s="22"/>
      <c r="G55" s="22"/>
      <c r="H55" s="22"/>
    </row>
    <row r="56" spans="1:8" x14ac:dyDescent="0.3">
      <c r="A56" s="22">
        <v>54</v>
      </c>
      <c r="B56" s="22"/>
      <c r="C56" s="22"/>
      <c r="D56" s="22"/>
      <c r="E56" s="22"/>
      <c r="F56" s="22"/>
      <c r="G56" s="22"/>
      <c r="H56" s="22"/>
    </row>
    <row r="57" spans="1:8" x14ac:dyDescent="0.3">
      <c r="A57" s="22">
        <v>55</v>
      </c>
      <c r="B57" s="22"/>
      <c r="C57" s="22"/>
      <c r="D57" s="22"/>
      <c r="E57" s="22"/>
      <c r="F57" s="22"/>
      <c r="G57" s="22"/>
      <c r="H57" s="22"/>
    </row>
    <row r="58" spans="1:8" x14ac:dyDescent="0.3">
      <c r="A58" s="22">
        <v>56</v>
      </c>
      <c r="B58" s="22"/>
      <c r="C58" s="22"/>
      <c r="D58" s="22"/>
      <c r="E58" s="22"/>
      <c r="F58" s="22"/>
      <c r="G58" s="22"/>
      <c r="H58" s="22"/>
    </row>
    <row r="59" spans="1:8" x14ac:dyDescent="0.3">
      <c r="A59" s="22">
        <v>57</v>
      </c>
      <c r="B59" s="22"/>
      <c r="C59" s="22"/>
      <c r="D59" s="22"/>
      <c r="E59" s="22"/>
      <c r="F59" s="22"/>
      <c r="G59" s="22"/>
      <c r="H59" s="22"/>
    </row>
    <row r="60" spans="1:8" x14ac:dyDescent="0.3">
      <c r="A60" s="22">
        <v>58</v>
      </c>
      <c r="B60" s="22"/>
      <c r="C60" s="22"/>
      <c r="D60" s="22"/>
      <c r="E60" s="22"/>
      <c r="F60" s="22"/>
      <c r="G60" s="22"/>
      <c r="H60" s="22"/>
    </row>
    <row r="61" spans="1:8" x14ac:dyDescent="0.3">
      <c r="A61" s="22">
        <v>59</v>
      </c>
      <c r="B61" s="22"/>
      <c r="C61" s="22"/>
      <c r="D61" s="22"/>
      <c r="E61" s="22"/>
      <c r="F61" s="22"/>
      <c r="G61" s="22"/>
      <c r="H61" s="22"/>
    </row>
    <row r="62" spans="1:8" x14ac:dyDescent="0.3">
      <c r="A62" s="22">
        <v>60</v>
      </c>
      <c r="B62" s="22"/>
      <c r="C62" s="22"/>
      <c r="D62" s="22"/>
      <c r="E62" s="22"/>
      <c r="F62" s="22"/>
      <c r="G62" s="22"/>
      <c r="H62" s="22"/>
    </row>
  </sheetData>
  <dataValidations count="3">
    <dataValidation type="list" allowBlank="1" sqref="E3:E62" xr:uid="{00000000-0002-0000-0400-000000000000}">
      <formula1>"Alta,Media,Baja"</formula1>
    </dataValidation>
    <dataValidation type="list" allowBlank="1" sqref="F3:F62" xr:uid="{00000000-0002-0000-0400-000001000000}">
      <formula1>"Corregir ahora,Pasar al backlog,No aplica"</formula1>
    </dataValidation>
    <dataValidation type="list" allowBlank="1" sqref="H3:H62" xr:uid="{00000000-0002-0000-0400-000002000000}">
      <formula1>"Abierto,Corregido,Verificado,Descartado"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Preguntas_SUS</vt:lpstr>
      <vt:lpstr>SUS</vt:lpstr>
      <vt:lpstr>Tareas</vt:lpstr>
      <vt:lpstr>Hallazgos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JULIAN QUIMBAYO CASTRO</cp:lastModifiedBy>
  <dcterms:created xsi:type="dcterms:W3CDTF">2026-10-27T20:39:46Z</dcterms:created>
  <dcterms:modified xsi:type="dcterms:W3CDTF">2026-10-27T20:51:35Z</dcterms:modified>
</cp:coreProperties>
</file>