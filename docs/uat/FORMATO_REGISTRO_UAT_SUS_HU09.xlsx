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eguntas_SUS" sheetId="2" state="visible" r:id="rId2"/>
    <sheet name="SUS" sheetId="3" state="visible" r:id="rId3"/>
    <sheet name="Tareas" sheetId="4" state="visible" r:id="rId4"/>
    <sheet name="Hallazg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1" pivotButton="0" quotePrefix="0" xfId="0"/>
    <xf numFmtId="1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HAB</author>
  </authors>
  <commentList>
    <comment ref="O1" authorId="0" shapeId="0">
      <text>
        <t>Fórmula: (suma de ítems impares − 5 + 25 − suma de ítems pares) × 2,5. Vacío si faltan respuestas.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C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0" customWidth="1" min="3" max="3"/>
  </cols>
  <sheetData>
    <row r="1">
      <c r="B1" s="1" t="inlineStr">
        <is>
          <t>Health Access Bridge — Registro de la sesión de usabilidad (HU-09)</t>
        </is>
      </c>
    </row>
    <row r="2">
      <c r="B2" s="2" t="inlineStr">
        <is>
          <t>Complementa docs/uat/PLAN_PRUEBAS_UAT_HU09.md (sección 6). Ambiente de prueba: DEV.</t>
        </is>
      </c>
    </row>
    <row r="4">
      <c r="B4" s="3" t="inlineStr">
        <is>
          <t>Cómo se usa</t>
        </is>
      </c>
      <c r="C4" s="4" t="n"/>
    </row>
    <row r="5">
      <c r="B5" s="5" t="inlineStr">
        <is>
          <t>1. Antes de la sesión</t>
        </is>
      </c>
      <c r="C5" s="6" t="inlineStr">
        <is>
          <t>Cada participante firma el consentimiento (no se incluye en este libro). Se le asigna un ID (P01, P02, …); en el libro no se escribe nombre ni documento, solo el ID.</t>
        </is>
      </c>
    </row>
    <row r="6">
      <c r="B6" s="5" t="inlineStr">
        <is>
          <t>2. Tareas</t>
        </is>
      </c>
      <c r="C6" s="6" t="inlineStr">
        <is>
          <t>Pida al participante que haga las tareas de la hoja «Tareas» sin ayuda. Registre en esa hoja si la completó, el tiempo y los errores. Una tarea «con ayuda» es aquella en que usted tuvo que intervenir.</t>
        </is>
      </c>
    </row>
    <row r="7">
      <c r="B7" s="5" t="inlineStr">
        <is>
          <t>3. Cuestionario SUS</t>
        </is>
      </c>
      <c r="C7" s="6" t="inlineStr">
        <is>
          <t>Al terminar las tareas, el participante responde las 10 afirmaciones de la hoja «Preguntas_SUS» de 1 (totalmente en desacuerdo) a 5 (totalmente de acuerdo). Se transcriben en la hoja «SUS» (una fila por participante).</t>
        </is>
      </c>
    </row>
    <row r="8">
      <c r="B8" s="5" t="inlineStr">
        <is>
          <t>4. Comentarios</t>
        </is>
      </c>
      <c r="C8" s="6" t="inlineStr">
        <is>
          <t>Todo lo confuso, los errores y las sugerencias van en «Hallazgos», con severidad y decisión. Cuando se corrija, anote el commit o el issue.</t>
        </is>
      </c>
    </row>
    <row r="9">
      <c r="B9" s="5" t="inlineStr">
        <is>
          <t>5. Resultados</t>
        </is>
      </c>
      <c r="C9" s="6" t="inlineStr">
        <is>
          <t>El puntaje SUS de cada participante y el resumen (n, media, mediana, mínimo, máximo) se calculan solos; no los escriba.</t>
        </is>
      </c>
    </row>
    <row r="10">
      <c r="B10" s="3" t="inlineStr">
        <is>
          <t>Colores</t>
        </is>
      </c>
      <c r="C10" s="4" t="n"/>
    </row>
    <row r="11">
      <c r="B11" s="7" t="inlineStr">
        <is>
          <t>Amarillo</t>
        </is>
      </c>
      <c r="C11" s="6" t="inlineStr">
        <is>
          <t>Celda a diligenciar.</t>
        </is>
      </c>
    </row>
    <row r="12">
      <c r="B12" s="8" t="inlineStr">
        <is>
          <t>Azul claro</t>
        </is>
      </c>
      <c r="C12" s="6" t="inlineStr">
        <is>
          <t>Celda calculada: no escribir (contiene fórmula).</t>
        </is>
      </c>
    </row>
    <row r="13">
      <c r="B13" s="9" t="inlineStr">
        <is>
          <t>Gris</t>
        </is>
      </c>
      <c r="C13" s="6" t="inlineStr">
        <is>
          <t>Fila de ejemplo (P00): solo muestra el formato. Está fuera de los cálculos; puede borrarla.</t>
        </is>
      </c>
    </row>
    <row r="14">
      <c r="B14" s="3" t="inlineStr">
        <is>
          <t>Puntaje SUS</t>
        </is>
      </c>
      <c r="C14" s="4" t="n"/>
    </row>
    <row r="15">
      <c r="B15" s="5" t="inlineStr">
        <is>
          <t>Cálculo</t>
        </is>
      </c>
      <c r="C15" s="6" t="inlineStr">
        <is>
          <t>Ítems impares (1, 3, 5, 7, 9): respuesta − 1. Ítems pares (2, 4, 6, 8, 10): 5 − respuesta. Se suman las 10 contribuciones y se multiplican por 2,5. Rango 0–100 (Brooke, 1996). Si falta alguna respuesta, el puntaje queda en blanco.</t>
        </is>
      </c>
    </row>
    <row r="16">
      <c r="B16" s="5" t="inlineStr">
        <is>
          <t>Interpretación</t>
        </is>
      </c>
      <c r="C16" s="6" t="inlineStr">
        <is>
          <t>Menos de 68: por debajo del promedio. 68 o más: por encima del promedio. 80,3 o más: excelente (Bangor et al., 2008; Sauro y Lewis, 2016). El SUS no es un porcentaje: 68 es el promedio de referencia, no una nota.</t>
        </is>
      </c>
    </row>
    <row r="17">
      <c r="B17" s="5" t="inlineStr">
        <is>
          <t>Muestra</t>
        </is>
      </c>
      <c r="C17" s="6" t="inlineStr">
        <is>
          <t>Cinco participantes detectan cerca del 85 % de los problemas de usabilidad (Nielsen y Landauer, 1993; Virzi, 1992); para estimar el SUS con más precisión se recomiendan 12 o más (Tullis y Stetson, 2004). Con menos de 5 el resumen es solo orientativo.</t>
        </is>
      </c>
    </row>
    <row r="18">
      <c r="B18" s="5" t="inlineStr">
        <is>
          <t>Aviso sobre las preguntas</t>
        </is>
      </c>
      <c r="C18" s="6" t="inlineStr">
        <is>
          <t>El texto de las 10 afirmaciones es la adaptación estándar al español del SUS. Antes de usarlas con participantes, cotéjelas con la versión publicada de Sevilla-Gonzalez et al. (2020, JMIR Human Factors 7(4):e21161) y ajuste si difieren.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22" customWidth="1" min="3" max="3"/>
  </cols>
  <sheetData>
    <row r="1" ht="42" customHeight="1">
      <c r="A1" s="10" t="inlineStr">
        <is>
          <t>N.º</t>
        </is>
      </c>
      <c r="B1" s="10" t="inlineStr">
        <is>
          <t>Afirmación (responder de 1 a 5)</t>
        </is>
      </c>
      <c r="C1" s="10" t="inlineStr">
        <is>
          <t>Cómo puntúa</t>
        </is>
      </c>
    </row>
    <row r="2">
      <c r="A2" s="11" t="n">
        <v>1</v>
      </c>
      <c r="B2" s="11" t="inlineStr">
        <is>
          <t>Creo que me gustaría usar este sistema con frecuencia.</t>
        </is>
      </c>
      <c r="C2" s="11" t="inlineStr">
        <is>
          <t>respuesta − 1</t>
        </is>
      </c>
    </row>
    <row r="3">
      <c r="A3" s="11" t="n">
        <v>2</v>
      </c>
      <c r="B3" s="11" t="inlineStr">
        <is>
          <t>Encontré el sistema innecesariamente complejo.</t>
        </is>
      </c>
      <c r="C3" s="11" t="inlineStr">
        <is>
          <t>5 − respuesta</t>
        </is>
      </c>
    </row>
    <row r="4">
      <c r="A4" s="11" t="n">
        <v>3</v>
      </c>
      <c r="B4" s="11" t="inlineStr">
        <is>
          <t>Pensé que el sistema era fácil de usar.</t>
        </is>
      </c>
      <c r="C4" s="11" t="inlineStr">
        <is>
          <t>respuesta − 1</t>
        </is>
      </c>
    </row>
    <row r="5">
      <c r="A5" s="11" t="n">
        <v>4</v>
      </c>
      <c r="B5" s="11" t="inlineStr">
        <is>
          <t>Creo que necesitaría el apoyo de un técnico para poder usar este sistema.</t>
        </is>
      </c>
      <c r="C5" s="11" t="inlineStr">
        <is>
          <t>5 − respuesta</t>
        </is>
      </c>
    </row>
    <row r="6">
      <c r="A6" s="11" t="n">
        <v>5</v>
      </c>
      <c r="B6" s="11" t="inlineStr">
        <is>
          <t>Encontré que las diversas funciones del sistema estaban bien integradas.</t>
        </is>
      </c>
      <c r="C6" s="11" t="inlineStr">
        <is>
          <t>respuesta − 1</t>
        </is>
      </c>
    </row>
    <row r="7">
      <c r="A7" s="11" t="n">
        <v>6</v>
      </c>
      <c r="B7" s="11" t="inlineStr">
        <is>
          <t>Pensé que había demasiada inconsistencia en este sistema.</t>
        </is>
      </c>
      <c r="C7" s="11" t="inlineStr">
        <is>
          <t>5 − respuesta</t>
        </is>
      </c>
    </row>
    <row r="8">
      <c r="A8" s="11" t="n">
        <v>7</v>
      </c>
      <c r="B8" s="11" t="inlineStr">
        <is>
          <t>Imagino que la mayoría de las personas aprenderían a usar este sistema muy rápidamente.</t>
        </is>
      </c>
      <c r="C8" s="11" t="inlineStr">
        <is>
          <t>respuesta − 1</t>
        </is>
      </c>
    </row>
    <row r="9">
      <c r="A9" s="11" t="n">
        <v>8</v>
      </c>
      <c r="B9" s="11" t="inlineStr">
        <is>
          <t>Encontré el sistema muy incómodo de usar.</t>
        </is>
      </c>
      <c r="C9" s="11" t="inlineStr">
        <is>
          <t>5 − respuesta</t>
        </is>
      </c>
    </row>
    <row r="10">
      <c r="A10" s="11" t="n">
        <v>9</v>
      </c>
      <c r="B10" s="11" t="inlineStr">
        <is>
          <t>Me sentí muy confiado/a al usar el sistema.</t>
        </is>
      </c>
      <c r="C10" s="11" t="inlineStr">
        <is>
          <t>respuesta − 1</t>
        </is>
      </c>
    </row>
    <row r="11">
      <c r="A11" s="11" t="n">
        <v>10</v>
      </c>
      <c r="B11" s="11" t="inlineStr">
        <is>
          <t>Necesité aprender muchas cosas antes de poder empezar a usar el sistema.</t>
        </is>
      </c>
      <c r="C11" s="11" t="inlineStr">
        <is>
          <t>5 − respuesta</t>
        </is>
      </c>
    </row>
    <row r="13">
      <c r="A13" s="2" t="inlineStr">
        <is>
          <t>Escala: 1 = totalmente en desacuerdo · 2 = en desacuerdo · 3 = neutral · 4 = de acuerdo · 5 = totalmente de acuerdo.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P34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14" customWidth="1" min="15" max="15"/>
    <col width="24" customWidth="1" min="16" max="16"/>
  </cols>
  <sheetData>
    <row r="1" ht="42" customHeight="1">
      <c r="A1" s="10" t="inlineStr">
        <is>
          <t>ID</t>
        </is>
      </c>
      <c r="B1" s="10" t="inlineStr">
        <is>
          <t>Fecha (aaaa-mm-dd)</t>
        </is>
      </c>
      <c r="C1" s="10" t="inlineStr">
        <is>
          <t>Rol</t>
        </is>
      </c>
      <c r="D1" s="10" t="inlineStr">
        <is>
          <t>Experiencia con sistemas clínicos (años)</t>
        </is>
      </c>
      <c r="E1" s="10" t="inlineStr">
        <is>
          <t>P1</t>
        </is>
      </c>
      <c r="F1" s="10" t="inlineStr">
        <is>
          <t>P2</t>
        </is>
      </c>
      <c r="G1" s="10" t="inlineStr">
        <is>
          <t>P3</t>
        </is>
      </c>
      <c r="H1" s="10" t="inlineStr">
        <is>
          <t>P4</t>
        </is>
      </c>
      <c r="I1" s="10" t="inlineStr">
        <is>
          <t>P5</t>
        </is>
      </c>
      <c r="J1" s="10" t="inlineStr">
        <is>
          <t>P6</t>
        </is>
      </c>
      <c r="K1" s="10" t="inlineStr">
        <is>
          <t>P7</t>
        </is>
      </c>
      <c r="L1" s="10" t="inlineStr">
        <is>
          <t>P8</t>
        </is>
      </c>
      <c r="M1" s="10" t="inlineStr">
        <is>
          <t>P9</t>
        </is>
      </c>
      <c r="N1" s="10" t="inlineStr">
        <is>
          <t>P10</t>
        </is>
      </c>
      <c r="O1" s="10" t="inlineStr">
        <is>
          <t>Puntaje SUS (0–100)</t>
        </is>
      </c>
      <c r="P1" s="10" t="inlineStr">
        <is>
          <t>Interpretación</t>
        </is>
      </c>
    </row>
    <row r="2">
      <c r="A2" s="12" t="inlineStr">
        <is>
          <t>P00 (ejemplo)</t>
        </is>
      </c>
      <c r="B2" s="12" t="inlineStr">
        <is>
          <t>2026-11-03</t>
        </is>
      </c>
      <c r="C2" s="12" t="inlineStr">
        <is>
          <t>Médico</t>
        </is>
      </c>
      <c r="D2" s="12" t="n">
        <v>8</v>
      </c>
      <c r="E2" s="12" t="n">
        <v>4</v>
      </c>
      <c r="F2" s="12" t="n">
        <v>2</v>
      </c>
      <c r="G2" s="12" t="n">
        <v>5</v>
      </c>
      <c r="H2" s="12" t="n">
        <v>1</v>
      </c>
      <c r="I2" s="12" t="n">
        <v>4</v>
      </c>
      <c r="J2" s="12" t="n">
        <v>2</v>
      </c>
      <c r="K2" s="12" t="n">
        <v>4</v>
      </c>
      <c r="L2" s="12" t="n">
        <v>2</v>
      </c>
      <c r="M2" s="12" t="n">
        <v>5</v>
      </c>
      <c r="N2" s="12" t="n">
        <v>1</v>
      </c>
      <c r="O2" s="13">
        <f>IF(COUNT(E2:N2)&lt;10,"",((E2+G2+I2+K2+M2)-5+(25-(F2+H2+J2+L2+N2)))*2.5)</f>
        <v/>
      </c>
      <c r="P2" s="14">
        <f>IF(O2="","",IF(O2&gt;=80.3,"Excelente",IF(O2&gt;=68,"Por encima del promedio","Por debajo del promedio")))</f>
        <v/>
      </c>
    </row>
    <row r="3">
      <c r="A3" s="15" t="inlineStr">
        <is>
          <t>P01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3">
        <f>IF(COUNT(E3:N3)&lt;10,"",((E3+G3+I3+K3+M3)-5+(25-(F3+H3+J3+L3+N3)))*2.5)</f>
        <v/>
      </c>
      <c r="P3" s="14">
        <f>IF(O3="","",IF(O3&gt;=80.3,"Excelente",IF(O3&gt;=68,"Por encima del promedio","Por debajo del promedio")))</f>
        <v/>
      </c>
    </row>
    <row r="4">
      <c r="A4" s="15" t="inlineStr">
        <is>
          <t>P02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3">
        <f>IF(COUNT(E4:N4)&lt;10,"",((E4+G4+I4+K4+M4)-5+(25-(F4+H4+J4+L4+N4)))*2.5)</f>
        <v/>
      </c>
      <c r="P4" s="14">
        <f>IF(O4="","",IF(O4&gt;=80.3,"Excelente",IF(O4&gt;=68,"Por encima del promedio","Por debajo del promedio")))</f>
        <v/>
      </c>
    </row>
    <row r="5">
      <c r="A5" s="15" t="inlineStr">
        <is>
          <t>P03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3">
        <f>IF(COUNT(E5:N5)&lt;10,"",((E5+G5+I5+K5+M5)-5+(25-(F5+H5+J5+L5+N5)))*2.5)</f>
        <v/>
      </c>
      <c r="P5" s="14">
        <f>IF(O5="","",IF(O5&gt;=80.3,"Excelente",IF(O5&gt;=68,"Por encima del promedio","Por debajo del promedio")))</f>
        <v/>
      </c>
    </row>
    <row r="6">
      <c r="A6" s="15" t="inlineStr">
        <is>
          <t>P04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3">
        <f>IF(COUNT(E6:N6)&lt;10,"",((E6+G6+I6+K6+M6)-5+(25-(F6+H6+J6+L6+N6)))*2.5)</f>
        <v/>
      </c>
      <c r="P6" s="14">
        <f>IF(O6="","",IF(O6&gt;=80.3,"Excelente",IF(O6&gt;=68,"Por encima del promedio","Por debajo del promedio")))</f>
        <v/>
      </c>
    </row>
    <row r="7">
      <c r="A7" s="15" t="inlineStr">
        <is>
          <t>P05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3">
        <f>IF(COUNT(E7:N7)&lt;10,"",((E7+G7+I7+K7+M7)-5+(25-(F7+H7+J7+L7+N7)))*2.5)</f>
        <v/>
      </c>
      <c r="P7" s="14">
        <f>IF(O7="","",IF(O7&gt;=80.3,"Excelente",IF(O7&gt;=68,"Por encima del promedio","Por debajo del promedio")))</f>
        <v/>
      </c>
    </row>
    <row r="8">
      <c r="A8" s="15" t="inlineStr">
        <is>
          <t>P06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3">
        <f>IF(COUNT(E8:N8)&lt;10,"",((E8+G8+I8+K8+M8)-5+(25-(F8+H8+J8+L8+N8)))*2.5)</f>
        <v/>
      </c>
      <c r="P8" s="14">
        <f>IF(O8="","",IF(O8&gt;=80.3,"Excelente",IF(O8&gt;=68,"Por encima del promedio","Por debajo del promedio")))</f>
        <v/>
      </c>
    </row>
    <row r="9">
      <c r="A9" s="15" t="inlineStr">
        <is>
          <t>P07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3">
        <f>IF(COUNT(E9:N9)&lt;10,"",((E9+G9+I9+K9+M9)-5+(25-(F9+H9+J9+L9+N9)))*2.5)</f>
        <v/>
      </c>
      <c r="P9" s="14">
        <f>IF(O9="","",IF(O9&gt;=80.3,"Excelente",IF(O9&gt;=68,"Por encima del promedio","Por debajo del promedio")))</f>
        <v/>
      </c>
    </row>
    <row r="10">
      <c r="A10" s="15" t="inlineStr">
        <is>
          <t>P08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3">
        <f>IF(COUNT(E10:N10)&lt;10,"",((E10+G10+I10+K10+M10)-5+(25-(F10+H10+J10+L10+N10)))*2.5)</f>
        <v/>
      </c>
      <c r="P10" s="14">
        <f>IF(O10="","",IF(O10&gt;=80.3,"Excelente",IF(O10&gt;=68,"Por encima del promedio","Por debajo del promedio")))</f>
        <v/>
      </c>
    </row>
    <row r="11">
      <c r="A11" s="15" t="inlineStr">
        <is>
          <t>P09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3">
        <f>IF(COUNT(E11:N11)&lt;10,"",((E11+G11+I11+K11+M11)-5+(25-(F11+H11+J11+L11+N11)))*2.5)</f>
        <v/>
      </c>
      <c r="P11" s="14">
        <f>IF(O11="","",IF(O11&gt;=80.3,"Excelente",IF(O11&gt;=68,"Por encima del promedio","Por debajo del promedio")))</f>
        <v/>
      </c>
    </row>
    <row r="12">
      <c r="A12" s="15" t="inlineStr">
        <is>
          <t>P10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3">
        <f>IF(COUNT(E12:N12)&lt;10,"",((E12+G12+I12+K12+M12)-5+(25-(F12+H12+J12+L12+N12)))*2.5)</f>
        <v/>
      </c>
      <c r="P12" s="14">
        <f>IF(O12="","",IF(O12&gt;=80.3,"Excelente",IF(O12&gt;=68,"Por encima del promedio","Por debajo del promedio")))</f>
        <v/>
      </c>
    </row>
    <row r="13">
      <c r="A13" s="15" t="inlineStr">
        <is>
          <t>P11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3">
        <f>IF(COUNT(E13:N13)&lt;10,"",((E13+G13+I13+K13+M13)-5+(25-(F13+H13+J13+L13+N13)))*2.5)</f>
        <v/>
      </c>
      <c r="P13" s="14">
        <f>IF(O13="","",IF(O13&gt;=80.3,"Excelente",IF(O13&gt;=68,"Por encima del promedio","Por debajo del promedio")))</f>
        <v/>
      </c>
    </row>
    <row r="14">
      <c r="A14" s="15" t="inlineStr">
        <is>
          <t>P12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3">
        <f>IF(COUNT(E14:N14)&lt;10,"",((E14+G14+I14+K14+M14)-5+(25-(F14+H14+J14+L14+N14)))*2.5)</f>
        <v/>
      </c>
      <c r="P14" s="14">
        <f>IF(O14="","",IF(O14&gt;=80.3,"Excelente",IF(O14&gt;=68,"Por encima del promedio","Por debajo del promedio")))</f>
        <v/>
      </c>
    </row>
    <row r="15">
      <c r="A15" s="15" t="inlineStr">
        <is>
          <t>P13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3">
        <f>IF(COUNT(E15:N15)&lt;10,"",((E15+G15+I15+K15+M15)-5+(25-(F15+H15+J15+L15+N15)))*2.5)</f>
        <v/>
      </c>
      <c r="P15" s="14">
        <f>IF(O15="","",IF(O15&gt;=80.3,"Excelente",IF(O15&gt;=68,"Por encima del promedio","Por debajo del promedio")))</f>
        <v/>
      </c>
    </row>
    <row r="16">
      <c r="A16" s="15" t="inlineStr">
        <is>
          <t>P14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3">
        <f>IF(COUNT(E16:N16)&lt;10,"",((E16+G16+I16+K16+M16)-5+(25-(F16+H16+J16+L16+N16)))*2.5)</f>
        <v/>
      </c>
      <c r="P16" s="14">
        <f>IF(O16="","",IF(O16&gt;=80.3,"Excelente",IF(O16&gt;=68,"Por encima del promedio","Por debajo del promedio")))</f>
        <v/>
      </c>
    </row>
    <row r="17">
      <c r="A17" s="15" t="inlineStr">
        <is>
          <t>P15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3">
        <f>IF(COUNT(E17:N17)&lt;10,"",((E17+G17+I17+K17+M17)-5+(25-(F17+H17+J17+L17+N17)))*2.5)</f>
        <v/>
      </c>
      <c r="P17" s="14">
        <f>IF(O17="","",IF(O17&gt;=80.3,"Excelente",IF(O17&gt;=68,"Por encima del promedio","Por debajo del promedio")))</f>
        <v/>
      </c>
    </row>
    <row r="18">
      <c r="A18" s="15" t="inlineStr">
        <is>
          <t>P16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3">
        <f>IF(COUNT(E18:N18)&lt;10,"",((E18+G18+I18+K18+M18)-5+(25-(F18+H18+J18+L18+N18)))*2.5)</f>
        <v/>
      </c>
      <c r="P18" s="14">
        <f>IF(O18="","",IF(O18&gt;=80.3,"Excelente",IF(O18&gt;=68,"Por encima del promedio","Por debajo del promedio")))</f>
        <v/>
      </c>
    </row>
    <row r="19">
      <c r="A19" s="15" t="inlineStr">
        <is>
          <t>P17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3">
        <f>IF(COUNT(E19:N19)&lt;10,"",((E19+G19+I19+K19+M19)-5+(25-(F19+H19+J19+L19+N19)))*2.5)</f>
        <v/>
      </c>
      <c r="P19" s="14">
        <f>IF(O19="","",IF(O19&gt;=80.3,"Excelente",IF(O19&gt;=68,"Por encima del promedio","Por debajo del promedio")))</f>
        <v/>
      </c>
    </row>
    <row r="20">
      <c r="A20" s="15" t="inlineStr">
        <is>
          <t>P18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3">
        <f>IF(COUNT(E20:N20)&lt;10,"",((E20+G20+I20+K20+M20)-5+(25-(F20+H20+J20+L20+N20)))*2.5)</f>
        <v/>
      </c>
      <c r="P20" s="14">
        <f>IF(O20="","",IF(O20&gt;=80.3,"Excelente",IF(O20&gt;=68,"Por encima del promedio","Por debajo del promedio")))</f>
        <v/>
      </c>
    </row>
    <row r="21">
      <c r="A21" s="15" t="inlineStr">
        <is>
          <t>P19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3">
        <f>IF(COUNT(E21:N21)&lt;10,"",((E21+G21+I21+K21+M21)-5+(25-(F21+H21+J21+L21+N21)))*2.5)</f>
        <v/>
      </c>
      <c r="P21" s="14">
        <f>IF(O21="","",IF(O21&gt;=80.3,"Excelente",IF(O21&gt;=68,"Por encima del promedio","Por debajo del promedio")))</f>
        <v/>
      </c>
    </row>
    <row r="22">
      <c r="A22" s="15" t="inlineStr">
        <is>
          <t>P20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3">
        <f>IF(COUNT(E22:N22)&lt;10,"",((E22+G22+I22+K22+M22)-5+(25-(F22+H22+J22+L22+N22)))*2.5)</f>
        <v/>
      </c>
      <c r="P22" s="14">
        <f>IF(O22="","",IF(O22&gt;=80.3,"Excelente",IF(O22&gt;=68,"Por encima del promedio","Por debajo del promedio")))</f>
        <v/>
      </c>
    </row>
    <row r="25">
      <c r="A25" s="17" t="inlineStr">
        <is>
          <t>Resumen (sin la fila de ejemplo)</t>
        </is>
      </c>
    </row>
    <row r="26">
      <c r="A26" s="18" t="inlineStr">
        <is>
          <t>Participantes con SUS completo (n)</t>
        </is>
      </c>
      <c r="B26" s="27" t="n"/>
      <c r="C26" s="27" t="n"/>
      <c r="D26" s="28" t="n"/>
      <c r="E26" s="19">
        <f>COUNT(O3:O22)</f>
        <v/>
      </c>
      <c r="F26" s="28" t="n"/>
    </row>
    <row r="27">
      <c r="A27" s="18" t="inlineStr">
        <is>
          <t>Media</t>
        </is>
      </c>
      <c r="B27" s="27" t="n"/>
      <c r="C27" s="27" t="n"/>
      <c r="D27" s="28" t="n"/>
      <c r="E27" s="20">
        <f>IF(COUNT(O3:O22)=0,"",AVERAGE(O3:O22))</f>
        <v/>
      </c>
      <c r="F27" s="28" t="n"/>
    </row>
    <row r="28">
      <c r="A28" s="18" t="inlineStr">
        <is>
          <t>Mediana</t>
        </is>
      </c>
      <c r="B28" s="27" t="n"/>
      <c r="C28" s="27" t="n"/>
      <c r="D28" s="28" t="n"/>
      <c r="E28" s="20">
        <f>IF(COUNT(O3:O22)=0,"",MEDIAN(O3:O22))</f>
        <v/>
      </c>
      <c r="F28" s="28" t="n"/>
    </row>
    <row r="29">
      <c r="A29" s="18" t="inlineStr">
        <is>
          <t>Mínimo</t>
        </is>
      </c>
      <c r="B29" s="27" t="n"/>
      <c r="C29" s="27" t="n"/>
      <c r="D29" s="28" t="n"/>
      <c r="E29" s="20">
        <f>IF(COUNT(O3:O22)=0,"",MIN(O3:O22))</f>
        <v/>
      </c>
      <c r="F29" s="28" t="n"/>
    </row>
    <row r="30">
      <c r="A30" s="18" t="inlineStr">
        <is>
          <t>Máximo</t>
        </is>
      </c>
      <c r="B30" s="27" t="n"/>
      <c r="C30" s="27" t="n"/>
      <c r="D30" s="28" t="n"/>
      <c r="E30" s="20">
        <f>IF(COUNT(O3:O22)=0,"",MAX(O3:O22))</f>
        <v/>
      </c>
      <c r="F30" s="28" t="n"/>
    </row>
    <row r="31">
      <c r="A31" s="18" t="inlineStr">
        <is>
          <t>Participantes con SUS ≥ 68</t>
        </is>
      </c>
      <c r="B31" s="27" t="n"/>
      <c r="C31" s="27" t="n"/>
      <c r="D31" s="28" t="n"/>
      <c r="E31" s="19">
        <f>COUNTIF(O3:O22,"&gt;=68")</f>
        <v/>
      </c>
      <c r="F31" s="28" t="n"/>
    </row>
    <row r="32">
      <c r="A32" s="18" t="inlineStr">
        <is>
          <t>Media del rol Médico</t>
        </is>
      </c>
      <c r="B32" s="27" t="n"/>
      <c r="C32" s="27" t="n"/>
      <c r="D32" s="28" t="n"/>
      <c r="E32" s="20">
        <f>IFERROR(AVERAGEIFS(O3:O22,C3:C22,"Médico"),"")</f>
        <v/>
      </c>
      <c r="F32" s="28" t="n"/>
    </row>
    <row r="33">
      <c r="A33" s="18" t="inlineStr">
        <is>
          <t>Media del rol Administrador</t>
        </is>
      </c>
      <c r="B33" s="27" t="n"/>
      <c r="C33" s="27" t="n"/>
      <c r="D33" s="28" t="n"/>
      <c r="E33" s="20">
        <f>IFERROR(AVERAGEIFS(O3:O22,C3:C22,"Administrador"),"")</f>
        <v/>
      </c>
      <c r="F33" s="28" t="n"/>
    </row>
    <row r="34">
      <c r="A34" s="2" t="inlineStr">
        <is>
          <t>Referencia: 68 = promedio del SUS (Sauro y Lewis, 2016); ≥ 80,3 = excelente (Bangor et al., 2008).</t>
        </is>
      </c>
    </row>
  </sheetData>
  <mergeCells count="16">
    <mergeCell ref="A27:D27"/>
    <mergeCell ref="E30:F30"/>
    <mergeCell ref="A31:D31"/>
    <mergeCell ref="E29:F29"/>
    <mergeCell ref="E32:F32"/>
    <mergeCell ref="A32:D32"/>
    <mergeCell ref="A26:D26"/>
    <mergeCell ref="A30:D30"/>
    <mergeCell ref="E33:F33"/>
    <mergeCell ref="E27:F27"/>
    <mergeCell ref="E28:F28"/>
    <mergeCell ref="A29:D29"/>
    <mergeCell ref="A33:D33"/>
    <mergeCell ref="E26:F26"/>
    <mergeCell ref="A28:D28"/>
    <mergeCell ref="E31:F31"/>
  </mergeCells>
  <dataValidations count="2">
    <dataValidation sqref="E3:N22" showDropDown="0" showInputMessage="0" showErrorMessage="0" allowBlank="1" errorTitle="Valor no válido" error="Escriba un número entero de 1 a 5." type="whole" operator="between">
      <formula1>1</formula1>
      <formula2>5</formula2>
    </dataValidation>
    <dataValidation sqref="C3:C22" showDropDown="0" showInputMessage="0" showErrorMessage="0" allowBlank="1" type="list">
      <formula1>"Médico,Administrador"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M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2" customWidth="1" min="4" max="4"/>
    <col width="12" customWidth="1" min="5" max="5"/>
    <col width="60" customWidth="1" min="6" max="6"/>
    <col width="62" customWidth="1" min="8" max="8"/>
    <col width="12" customWidth="1" min="9" max="9"/>
    <col width="12" customWidth="1" min="10" max="10"/>
    <col width="14" customWidth="1" min="11" max="11"/>
    <col width="14" customWidth="1" min="12" max="12"/>
    <col width="16" customWidth="1" min="13" max="13"/>
  </cols>
  <sheetData>
    <row r="1" ht="42" customHeight="1">
      <c r="A1" s="10" t="inlineStr">
        <is>
          <t>ID participante</t>
        </is>
      </c>
      <c r="B1" s="10" t="inlineStr">
        <is>
          <t>Tarea (ID del guion)</t>
        </is>
      </c>
      <c r="C1" s="10" t="inlineStr">
        <is>
          <t>Resultado</t>
        </is>
      </c>
      <c r="D1" s="10" t="inlineStr">
        <is>
          <t>Tiempo (min)</t>
        </is>
      </c>
      <c r="E1" s="10" t="inlineStr">
        <is>
          <t>N.º de errores</t>
        </is>
      </c>
      <c r="F1" s="10" t="inlineStr">
        <is>
          <t>Observaciones</t>
        </is>
      </c>
      <c r="H1" s="10" t="inlineStr">
        <is>
          <t>Tarea</t>
        </is>
      </c>
      <c r="I1" s="10" t="inlineStr">
        <is>
          <t>Intentos</t>
        </is>
      </c>
      <c r="J1" s="10" t="inlineStr">
        <is>
          <t>Completadas</t>
        </is>
      </c>
      <c r="K1" s="10" t="inlineStr">
        <is>
          <t>Con ayuda</t>
        </is>
      </c>
      <c r="L1" s="10" t="inlineStr">
        <is>
          <t>No completadas</t>
        </is>
      </c>
      <c r="M1" s="10" t="inlineStr">
        <is>
          <t>Tiempo medio (min)</t>
        </is>
      </c>
    </row>
    <row r="2">
      <c r="A2" s="21" t="inlineStr">
        <is>
          <t>P00 (ejemplo)</t>
        </is>
      </c>
      <c r="B2" s="21" t="inlineStr">
        <is>
          <t>M03</t>
        </is>
      </c>
      <c r="C2" s="21" t="inlineStr">
        <is>
          <t>Completada</t>
        </is>
      </c>
      <c r="D2" s="21" t="n">
        <v>3.5</v>
      </c>
      <c r="E2" s="21" t="n">
        <v>0</v>
      </c>
      <c r="F2" s="21" t="inlineStr">
        <is>
          <t>Encontró el botón «Agregar paciente» de inmediato.</t>
        </is>
      </c>
      <c r="H2" s="22" t="inlineStr">
        <is>
          <t>M03 — Médico: registrar un paciente</t>
        </is>
      </c>
      <c r="I2" s="22">
        <f>COUNTIF($B$3:$B$82,"M03")</f>
        <v/>
      </c>
      <c r="J2" s="22">
        <f>COUNTIFS($B$3:$B$82,"M03",$C$3:$C$82,"Completada")</f>
        <v/>
      </c>
      <c r="K2" s="22">
        <f>COUNTIFS($B$3:$B$82,"M03",$C$3:$C$82,"Con ayuda")</f>
        <v/>
      </c>
      <c r="L2" s="22">
        <f>COUNTIFS($B$3:$B$82,"M03",$C$3:$C$82,"No completada")</f>
        <v/>
      </c>
      <c r="M2" s="23">
        <f>IFERROR(AVERAGEIFS($D$3:$D$82,$B$3:$B$82,"M03"),"")</f>
        <v/>
      </c>
    </row>
    <row r="3">
      <c r="A3" s="24" t="n"/>
      <c r="B3" s="24" t="n"/>
      <c r="C3" s="24" t="n"/>
      <c r="D3" s="25" t="n"/>
      <c r="E3" s="24" t="n"/>
      <c r="F3" s="24" t="n"/>
      <c r="H3" s="22" t="inlineStr">
        <is>
          <t>M05 — Médico: ejecutar la predicción de barreras</t>
        </is>
      </c>
      <c r="I3" s="22">
        <f>COUNTIF($B$3:$B$82,"M05")</f>
        <v/>
      </c>
      <c r="J3" s="22">
        <f>COUNTIFS($B$3:$B$82,"M05",$C$3:$C$82,"Completada")</f>
        <v/>
      </c>
      <c r="K3" s="22">
        <f>COUNTIFS($B$3:$B$82,"M05",$C$3:$C$82,"Con ayuda")</f>
        <v/>
      </c>
      <c r="L3" s="22">
        <f>COUNTIFS($B$3:$B$82,"M05",$C$3:$C$82,"No completada")</f>
        <v/>
      </c>
      <c r="M3" s="23">
        <f>IFERROR(AVERAGEIFS($D$3:$D$82,$B$3:$B$82,"M05"),"")</f>
        <v/>
      </c>
    </row>
    <row r="4">
      <c r="A4" s="24" t="n"/>
      <c r="B4" s="24" t="n"/>
      <c r="C4" s="24" t="n"/>
      <c r="D4" s="25" t="n"/>
      <c r="E4" s="24" t="n"/>
      <c r="F4" s="24" t="n"/>
      <c r="H4" s="22" t="inlineStr">
        <is>
          <t>M06 — Médico: perfil funcional ICF (generar, aceptar/rechazar, descargar PDF)</t>
        </is>
      </c>
      <c r="I4" s="22">
        <f>COUNTIF($B$3:$B$82,"M06")</f>
        <v/>
      </c>
      <c r="J4" s="22">
        <f>COUNTIFS($B$3:$B$82,"M06",$C$3:$C$82,"Completada")</f>
        <v/>
      </c>
      <c r="K4" s="22">
        <f>COUNTIFS($B$3:$B$82,"M06",$C$3:$C$82,"Con ayuda")</f>
        <v/>
      </c>
      <c r="L4" s="22">
        <f>COUNTIFS($B$3:$B$82,"M06",$C$3:$C$82,"No completada")</f>
        <v/>
      </c>
      <c r="M4" s="23">
        <f>IFERROR(AVERAGEIFS($D$3:$D$82,$B$3:$B$82,"M06"),"")</f>
        <v/>
      </c>
    </row>
    <row r="5">
      <c r="A5" s="24" t="n"/>
      <c r="B5" s="24" t="n"/>
      <c r="C5" s="24" t="n"/>
      <c r="D5" s="25" t="n"/>
      <c r="E5" s="24" t="n"/>
      <c r="F5" s="24" t="n"/>
      <c r="H5" s="22" t="inlineStr">
        <is>
          <t>M08 — Médico: dashboard de análisis (filtrar y exportar)</t>
        </is>
      </c>
      <c r="I5" s="22">
        <f>COUNTIF($B$3:$B$82,"M08")</f>
        <v/>
      </c>
      <c r="J5" s="22">
        <f>COUNTIFS($B$3:$B$82,"M08",$C$3:$C$82,"Completada")</f>
        <v/>
      </c>
      <c r="K5" s="22">
        <f>COUNTIFS($B$3:$B$82,"M08",$C$3:$C$82,"Con ayuda")</f>
        <v/>
      </c>
      <c r="L5" s="22">
        <f>COUNTIFS($B$3:$B$82,"M08",$C$3:$C$82,"No completada")</f>
        <v/>
      </c>
      <c r="M5" s="23">
        <f>IFERROR(AVERAGEIFS($D$3:$D$82,$B$3:$B$82,"M08"),"")</f>
        <v/>
      </c>
    </row>
    <row r="6">
      <c r="A6" s="24" t="n"/>
      <c r="B6" s="24" t="n"/>
      <c r="C6" s="24" t="n"/>
      <c r="D6" s="25" t="n"/>
      <c r="E6" s="24" t="n"/>
      <c r="F6" s="24" t="n"/>
      <c r="H6" s="22" t="inlineStr">
        <is>
          <t>A04 — Admin: crear un usuario médico</t>
        </is>
      </c>
      <c r="I6" s="22">
        <f>COUNTIF($B$3:$B$82,"A04")</f>
        <v/>
      </c>
      <c r="J6" s="22">
        <f>COUNTIFS($B$3:$B$82,"A04",$C$3:$C$82,"Completada")</f>
        <v/>
      </c>
      <c r="K6" s="22">
        <f>COUNTIFS($B$3:$B$82,"A04",$C$3:$C$82,"Con ayuda")</f>
        <v/>
      </c>
      <c r="L6" s="22">
        <f>COUNTIFS($B$3:$B$82,"A04",$C$3:$C$82,"No completada")</f>
        <v/>
      </c>
      <c r="M6" s="23">
        <f>IFERROR(AVERAGEIFS($D$3:$D$82,$B$3:$B$82,"A04"),"")</f>
        <v/>
      </c>
    </row>
    <row r="7">
      <c r="A7" s="24" t="n"/>
      <c r="B7" s="24" t="n"/>
      <c r="C7" s="24" t="n"/>
      <c r="D7" s="25" t="n"/>
      <c r="E7" s="24" t="n"/>
      <c r="F7" s="24" t="n"/>
      <c r="H7" s="22" t="inlineStr">
        <is>
          <t>A03 — Admin: análisis global y filtro por médico</t>
        </is>
      </c>
      <c r="I7" s="22">
        <f>COUNTIF($B$3:$B$82,"A03")</f>
        <v/>
      </c>
      <c r="J7" s="22">
        <f>COUNTIFS($B$3:$B$82,"A03",$C$3:$C$82,"Completada")</f>
        <v/>
      </c>
      <c r="K7" s="22">
        <f>COUNTIFS($B$3:$B$82,"A03",$C$3:$C$82,"Con ayuda")</f>
        <v/>
      </c>
      <c r="L7" s="22">
        <f>COUNTIFS($B$3:$B$82,"A03",$C$3:$C$82,"No completada")</f>
        <v/>
      </c>
      <c r="M7" s="23">
        <f>IFERROR(AVERAGEIFS($D$3:$D$82,$B$3:$B$82,"A03"),"")</f>
        <v/>
      </c>
    </row>
    <row r="8">
      <c r="A8" s="24" t="n"/>
      <c r="B8" s="24" t="n"/>
      <c r="C8" s="24" t="n"/>
      <c r="D8" s="25" t="n"/>
      <c r="E8" s="24" t="n"/>
      <c r="F8" s="24" t="n"/>
    </row>
    <row r="9">
      <c r="A9" s="24" t="n"/>
      <c r="B9" s="24" t="n"/>
      <c r="C9" s="24" t="n"/>
      <c r="D9" s="25" t="n"/>
      <c r="E9" s="24" t="n"/>
      <c r="F9" s="24" t="n"/>
      <c r="H9" s="2" t="inlineStr">
        <is>
          <t>El resumen no cuenta la fila de ejemplo (P00). Registre cada intento en una fila.</t>
        </is>
      </c>
    </row>
    <row r="10">
      <c r="A10" s="24" t="n"/>
      <c r="B10" s="24" t="n"/>
      <c r="C10" s="24" t="n"/>
      <c r="D10" s="25" t="n"/>
      <c r="E10" s="24" t="n"/>
      <c r="F10" s="24" t="n"/>
    </row>
    <row r="11">
      <c r="A11" s="24" t="n"/>
      <c r="B11" s="24" t="n"/>
      <c r="C11" s="24" t="n"/>
      <c r="D11" s="25" t="n"/>
      <c r="E11" s="24" t="n"/>
      <c r="F11" s="24" t="n"/>
    </row>
    <row r="12">
      <c r="A12" s="24" t="n"/>
      <c r="B12" s="24" t="n"/>
      <c r="C12" s="24" t="n"/>
      <c r="D12" s="25" t="n"/>
      <c r="E12" s="24" t="n"/>
      <c r="F12" s="24" t="n"/>
    </row>
    <row r="13">
      <c r="A13" s="24" t="n"/>
      <c r="B13" s="24" t="n"/>
      <c r="C13" s="24" t="n"/>
      <c r="D13" s="25" t="n"/>
      <c r="E13" s="24" t="n"/>
      <c r="F13" s="24" t="n"/>
    </row>
    <row r="14">
      <c r="A14" s="24" t="n"/>
      <c r="B14" s="24" t="n"/>
      <c r="C14" s="24" t="n"/>
      <c r="D14" s="25" t="n"/>
      <c r="E14" s="24" t="n"/>
      <c r="F14" s="24" t="n"/>
    </row>
    <row r="15">
      <c r="A15" s="24" t="n"/>
      <c r="B15" s="24" t="n"/>
      <c r="C15" s="24" t="n"/>
      <c r="D15" s="25" t="n"/>
      <c r="E15" s="24" t="n"/>
      <c r="F15" s="24" t="n"/>
    </row>
    <row r="16">
      <c r="A16" s="24" t="n"/>
      <c r="B16" s="24" t="n"/>
      <c r="C16" s="24" t="n"/>
      <c r="D16" s="25" t="n"/>
      <c r="E16" s="24" t="n"/>
      <c r="F16" s="24" t="n"/>
    </row>
    <row r="17">
      <c r="A17" s="24" t="n"/>
      <c r="B17" s="24" t="n"/>
      <c r="C17" s="24" t="n"/>
      <c r="D17" s="25" t="n"/>
      <c r="E17" s="24" t="n"/>
      <c r="F17" s="24" t="n"/>
    </row>
    <row r="18">
      <c r="A18" s="24" t="n"/>
      <c r="B18" s="24" t="n"/>
      <c r="C18" s="24" t="n"/>
      <c r="D18" s="25" t="n"/>
      <c r="E18" s="24" t="n"/>
      <c r="F18" s="24" t="n"/>
    </row>
    <row r="19">
      <c r="A19" s="24" t="n"/>
      <c r="B19" s="24" t="n"/>
      <c r="C19" s="24" t="n"/>
      <c r="D19" s="25" t="n"/>
      <c r="E19" s="24" t="n"/>
      <c r="F19" s="24" t="n"/>
    </row>
    <row r="20">
      <c r="A20" s="24" t="n"/>
      <c r="B20" s="24" t="n"/>
      <c r="C20" s="24" t="n"/>
      <c r="D20" s="25" t="n"/>
      <c r="E20" s="24" t="n"/>
      <c r="F20" s="24" t="n"/>
    </row>
    <row r="21">
      <c r="A21" s="24" t="n"/>
      <c r="B21" s="24" t="n"/>
      <c r="C21" s="24" t="n"/>
      <c r="D21" s="25" t="n"/>
      <c r="E21" s="24" t="n"/>
      <c r="F21" s="24" t="n"/>
    </row>
    <row r="22">
      <c r="A22" s="24" t="n"/>
      <c r="B22" s="24" t="n"/>
      <c r="C22" s="24" t="n"/>
      <c r="D22" s="25" t="n"/>
      <c r="E22" s="24" t="n"/>
      <c r="F22" s="24" t="n"/>
    </row>
    <row r="23">
      <c r="A23" s="24" t="n"/>
      <c r="B23" s="24" t="n"/>
      <c r="C23" s="24" t="n"/>
      <c r="D23" s="25" t="n"/>
      <c r="E23" s="24" t="n"/>
      <c r="F23" s="24" t="n"/>
    </row>
    <row r="24">
      <c r="A24" s="24" t="n"/>
      <c r="B24" s="24" t="n"/>
      <c r="C24" s="24" t="n"/>
      <c r="D24" s="25" t="n"/>
      <c r="E24" s="24" t="n"/>
      <c r="F24" s="24" t="n"/>
    </row>
    <row r="25">
      <c r="A25" s="24" t="n"/>
      <c r="B25" s="24" t="n"/>
      <c r="C25" s="24" t="n"/>
      <c r="D25" s="25" t="n"/>
      <c r="E25" s="24" t="n"/>
      <c r="F25" s="24" t="n"/>
    </row>
    <row r="26">
      <c r="A26" s="24" t="n"/>
      <c r="B26" s="24" t="n"/>
      <c r="C26" s="24" t="n"/>
      <c r="D26" s="25" t="n"/>
      <c r="E26" s="24" t="n"/>
      <c r="F26" s="24" t="n"/>
    </row>
    <row r="27">
      <c r="A27" s="24" t="n"/>
      <c r="B27" s="24" t="n"/>
      <c r="C27" s="24" t="n"/>
      <c r="D27" s="25" t="n"/>
      <c r="E27" s="24" t="n"/>
      <c r="F27" s="24" t="n"/>
    </row>
    <row r="28">
      <c r="A28" s="24" t="n"/>
      <c r="B28" s="24" t="n"/>
      <c r="C28" s="24" t="n"/>
      <c r="D28" s="25" t="n"/>
      <c r="E28" s="24" t="n"/>
      <c r="F28" s="24" t="n"/>
    </row>
    <row r="29">
      <c r="A29" s="24" t="n"/>
      <c r="B29" s="24" t="n"/>
      <c r="C29" s="24" t="n"/>
      <c r="D29" s="25" t="n"/>
      <c r="E29" s="24" t="n"/>
      <c r="F29" s="24" t="n"/>
    </row>
    <row r="30">
      <c r="A30" s="24" t="n"/>
      <c r="B30" s="24" t="n"/>
      <c r="C30" s="24" t="n"/>
      <c r="D30" s="25" t="n"/>
      <c r="E30" s="24" t="n"/>
      <c r="F30" s="24" t="n"/>
    </row>
    <row r="31">
      <c r="A31" s="24" t="n"/>
      <c r="B31" s="24" t="n"/>
      <c r="C31" s="24" t="n"/>
      <c r="D31" s="25" t="n"/>
      <c r="E31" s="24" t="n"/>
      <c r="F31" s="24" t="n"/>
    </row>
    <row r="32">
      <c r="A32" s="24" t="n"/>
      <c r="B32" s="24" t="n"/>
      <c r="C32" s="24" t="n"/>
      <c r="D32" s="25" t="n"/>
      <c r="E32" s="24" t="n"/>
      <c r="F32" s="24" t="n"/>
    </row>
    <row r="33">
      <c r="A33" s="24" t="n"/>
      <c r="B33" s="24" t="n"/>
      <c r="C33" s="24" t="n"/>
      <c r="D33" s="25" t="n"/>
      <c r="E33" s="24" t="n"/>
      <c r="F33" s="24" t="n"/>
    </row>
    <row r="34">
      <c r="A34" s="24" t="n"/>
      <c r="B34" s="24" t="n"/>
      <c r="C34" s="24" t="n"/>
      <c r="D34" s="25" t="n"/>
      <c r="E34" s="24" t="n"/>
      <c r="F34" s="24" t="n"/>
    </row>
    <row r="35">
      <c r="A35" s="24" t="n"/>
      <c r="B35" s="24" t="n"/>
      <c r="C35" s="24" t="n"/>
      <c r="D35" s="25" t="n"/>
      <c r="E35" s="24" t="n"/>
      <c r="F35" s="24" t="n"/>
    </row>
    <row r="36">
      <c r="A36" s="24" t="n"/>
      <c r="B36" s="24" t="n"/>
      <c r="C36" s="24" t="n"/>
      <c r="D36" s="25" t="n"/>
      <c r="E36" s="24" t="n"/>
      <c r="F36" s="24" t="n"/>
    </row>
    <row r="37">
      <c r="A37" s="24" t="n"/>
      <c r="B37" s="24" t="n"/>
      <c r="C37" s="24" t="n"/>
      <c r="D37" s="25" t="n"/>
      <c r="E37" s="24" t="n"/>
      <c r="F37" s="24" t="n"/>
    </row>
    <row r="38">
      <c r="A38" s="24" t="n"/>
      <c r="B38" s="24" t="n"/>
      <c r="C38" s="24" t="n"/>
      <c r="D38" s="25" t="n"/>
      <c r="E38" s="24" t="n"/>
      <c r="F38" s="24" t="n"/>
    </row>
    <row r="39">
      <c r="A39" s="24" t="n"/>
      <c r="B39" s="24" t="n"/>
      <c r="C39" s="24" t="n"/>
      <c r="D39" s="25" t="n"/>
      <c r="E39" s="24" t="n"/>
      <c r="F39" s="24" t="n"/>
    </row>
    <row r="40">
      <c r="A40" s="24" t="n"/>
      <c r="B40" s="24" t="n"/>
      <c r="C40" s="24" t="n"/>
      <c r="D40" s="25" t="n"/>
      <c r="E40" s="24" t="n"/>
      <c r="F40" s="24" t="n"/>
    </row>
    <row r="41">
      <c r="A41" s="24" t="n"/>
      <c r="B41" s="24" t="n"/>
      <c r="C41" s="24" t="n"/>
      <c r="D41" s="25" t="n"/>
      <c r="E41" s="24" t="n"/>
      <c r="F41" s="24" t="n"/>
    </row>
    <row r="42">
      <c r="A42" s="24" t="n"/>
      <c r="B42" s="24" t="n"/>
      <c r="C42" s="24" t="n"/>
      <c r="D42" s="25" t="n"/>
      <c r="E42" s="24" t="n"/>
      <c r="F42" s="24" t="n"/>
    </row>
    <row r="43">
      <c r="A43" s="24" t="n"/>
      <c r="B43" s="24" t="n"/>
      <c r="C43" s="24" t="n"/>
      <c r="D43" s="25" t="n"/>
      <c r="E43" s="24" t="n"/>
      <c r="F43" s="24" t="n"/>
    </row>
    <row r="44">
      <c r="A44" s="24" t="n"/>
      <c r="B44" s="24" t="n"/>
      <c r="C44" s="24" t="n"/>
      <c r="D44" s="25" t="n"/>
      <c r="E44" s="24" t="n"/>
      <c r="F44" s="24" t="n"/>
    </row>
    <row r="45">
      <c r="A45" s="24" t="n"/>
      <c r="B45" s="24" t="n"/>
      <c r="C45" s="24" t="n"/>
      <c r="D45" s="25" t="n"/>
      <c r="E45" s="24" t="n"/>
      <c r="F45" s="24" t="n"/>
    </row>
    <row r="46">
      <c r="A46" s="24" t="n"/>
      <c r="B46" s="24" t="n"/>
      <c r="C46" s="24" t="n"/>
      <c r="D46" s="25" t="n"/>
      <c r="E46" s="24" t="n"/>
      <c r="F46" s="24" t="n"/>
    </row>
    <row r="47">
      <c r="A47" s="24" t="n"/>
      <c r="B47" s="24" t="n"/>
      <c r="C47" s="24" t="n"/>
      <c r="D47" s="25" t="n"/>
      <c r="E47" s="24" t="n"/>
      <c r="F47" s="24" t="n"/>
    </row>
    <row r="48">
      <c r="A48" s="24" t="n"/>
      <c r="B48" s="24" t="n"/>
      <c r="C48" s="24" t="n"/>
      <c r="D48" s="25" t="n"/>
      <c r="E48" s="24" t="n"/>
      <c r="F48" s="24" t="n"/>
    </row>
    <row r="49">
      <c r="A49" s="24" t="n"/>
      <c r="B49" s="24" t="n"/>
      <c r="C49" s="24" t="n"/>
      <c r="D49" s="25" t="n"/>
      <c r="E49" s="24" t="n"/>
      <c r="F49" s="24" t="n"/>
    </row>
    <row r="50">
      <c r="A50" s="24" t="n"/>
      <c r="B50" s="24" t="n"/>
      <c r="C50" s="24" t="n"/>
      <c r="D50" s="25" t="n"/>
      <c r="E50" s="24" t="n"/>
      <c r="F50" s="24" t="n"/>
    </row>
    <row r="51">
      <c r="A51" s="24" t="n"/>
      <c r="B51" s="24" t="n"/>
      <c r="C51" s="24" t="n"/>
      <c r="D51" s="25" t="n"/>
      <c r="E51" s="24" t="n"/>
      <c r="F51" s="24" t="n"/>
    </row>
    <row r="52">
      <c r="A52" s="24" t="n"/>
      <c r="B52" s="24" t="n"/>
      <c r="C52" s="24" t="n"/>
      <c r="D52" s="25" t="n"/>
      <c r="E52" s="24" t="n"/>
      <c r="F52" s="24" t="n"/>
    </row>
    <row r="53">
      <c r="A53" s="24" t="n"/>
      <c r="B53" s="24" t="n"/>
      <c r="C53" s="24" t="n"/>
      <c r="D53" s="25" t="n"/>
      <c r="E53" s="24" t="n"/>
      <c r="F53" s="24" t="n"/>
    </row>
    <row r="54">
      <c r="A54" s="24" t="n"/>
      <c r="B54" s="24" t="n"/>
      <c r="C54" s="24" t="n"/>
      <c r="D54" s="25" t="n"/>
      <c r="E54" s="24" t="n"/>
      <c r="F54" s="24" t="n"/>
    </row>
    <row r="55">
      <c r="A55" s="24" t="n"/>
      <c r="B55" s="24" t="n"/>
      <c r="C55" s="24" t="n"/>
      <c r="D55" s="25" t="n"/>
      <c r="E55" s="24" t="n"/>
      <c r="F55" s="24" t="n"/>
    </row>
    <row r="56">
      <c r="A56" s="24" t="n"/>
      <c r="B56" s="24" t="n"/>
      <c r="C56" s="24" t="n"/>
      <c r="D56" s="25" t="n"/>
      <c r="E56" s="24" t="n"/>
      <c r="F56" s="24" t="n"/>
    </row>
    <row r="57">
      <c r="A57" s="24" t="n"/>
      <c r="B57" s="24" t="n"/>
      <c r="C57" s="24" t="n"/>
      <c r="D57" s="25" t="n"/>
      <c r="E57" s="24" t="n"/>
      <c r="F57" s="24" t="n"/>
    </row>
    <row r="58">
      <c r="A58" s="24" t="n"/>
      <c r="B58" s="24" t="n"/>
      <c r="C58" s="24" t="n"/>
      <c r="D58" s="25" t="n"/>
      <c r="E58" s="24" t="n"/>
      <c r="F58" s="24" t="n"/>
    </row>
    <row r="59">
      <c r="A59" s="24" t="n"/>
      <c r="B59" s="24" t="n"/>
      <c r="C59" s="24" t="n"/>
      <c r="D59" s="25" t="n"/>
      <c r="E59" s="24" t="n"/>
      <c r="F59" s="24" t="n"/>
    </row>
    <row r="60">
      <c r="A60" s="24" t="n"/>
      <c r="B60" s="24" t="n"/>
      <c r="C60" s="24" t="n"/>
      <c r="D60" s="25" t="n"/>
      <c r="E60" s="24" t="n"/>
      <c r="F60" s="24" t="n"/>
    </row>
    <row r="61">
      <c r="A61" s="24" t="n"/>
      <c r="B61" s="24" t="n"/>
      <c r="C61" s="24" t="n"/>
      <c r="D61" s="25" t="n"/>
      <c r="E61" s="24" t="n"/>
      <c r="F61" s="24" t="n"/>
    </row>
    <row r="62">
      <c r="A62" s="24" t="n"/>
      <c r="B62" s="24" t="n"/>
      <c r="C62" s="24" t="n"/>
      <c r="D62" s="25" t="n"/>
      <c r="E62" s="24" t="n"/>
      <c r="F62" s="24" t="n"/>
    </row>
    <row r="63">
      <c r="A63" s="24" t="n"/>
      <c r="B63" s="24" t="n"/>
      <c r="C63" s="24" t="n"/>
      <c r="D63" s="25" t="n"/>
      <c r="E63" s="24" t="n"/>
      <c r="F63" s="24" t="n"/>
    </row>
    <row r="64">
      <c r="A64" s="24" t="n"/>
      <c r="B64" s="24" t="n"/>
      <c r="C64" s="24" t="n"/>
      <c r="D64" s="25" t="n"/>
      <c r="E64" s="24" t="n"/>
      <c r="F64" s="24" t="n"/>
    </row>
    <row r="65">
      <c r="A65" s="24" t="n"/>
      <c r="B65" s="24" t="n"/>
      <c r="C65" s="24" t="n"/>
      <c r="D65" s="25" t="n"/>
      <c r="E65" s="24" t="n"/>
      <c r="F65" s="24" t="n"/>
    </row>
    <row r="66">
      <c r="A66" s="24" t="n"/>
      <c r="B66" s="24" t="n"/>
      <c r="C66" s="24" t="n"/>
      <c r="D66" s="25" t="n"/>
      <c r="E66" s="24" t="n"/>
      <c r="F66" s="24" t="n"/>
    </row>
    <row r="67">
      <c r="A67" s="24" t="n"/>
      <c r="B67" s="24" t="n"/>
      <c r="C67" s="24" t="n"/>
      <c r="D67" s="25" t="n"/>
      <c r="E67" s="24" t="n"/>
      <c r="F67" s="24" t="n"/>
    </row>
    <row r="68">
      <c r="A68" s="24" t="n"/>
      <c r="B68" s="24" t="n"/>
      <c r="C68" s="24" t="n"/>
      <c r="D68" s="25" t="n"/>
      <c r="E68" s="24" t="n"/>
      <c r="F68" s="24" t="n"/>
    </row>
    <row r="69">
      <c r="A69" s="24" t="n"/>
      <c r="B69" s="24" t="n"/>
      <c r="C69" s="24" t="n"/>
      <c r="D69" s="25" t="n"/>
      <c r="E69" s="24" t="n"/>
      <c r="F69" s="24" t="n"/>
    </row>
    <row r="70">
      <c r="A70" s="24" t="n"/>
      <c r="B70" s="24" t="n"/>
      <c r="C70" s="24" t="n"/>
      <c r="D70" s="25" t="n"/>
      <c r="E70" s="24" t="n"/>
      <c r="F70" s="24" t="n"/>
    </row>
    <row r="71">
      <c r="A71" s="24" t="n"/>
      <c r="B71" s="24" t="n"/>
      <c r="C71" s="24" t="n"/>
      <c r="D71" s="25" t="n"/>
      <c r="E71" s="24" t="n"/>
      <c r="F71" s="24" t="n"/>
    </row>
    <row r="72">
      <c r="A72" s="24" t="n"/>
      <c r="B72" s="24" t="n"/>
      <c r="C72" s="24" t="n"/>
      <c r="D72" s="25" t="n"/>
      <c r="E72" s="24" t="n"/>
      <c r="F72" s="24" t="n"/>
    </row>
    <row r="73">
      <c r="A73" s="24" t="n"/>
      <c r="B73" s="24" t="n"/>
      <c r="C73" s="24" t="n"/>
      <c r="D73" s="25" t="n"/>
      <c r="E73" s="24" t="n"/>
      <c r="F73" s="24" t="n"/>
    </row>
    <row r="74">
      <c r="A74" s="24" t="n"/>
      <c r="B74" s="24" t="n"/>
      <c r="C74" s="24" t="n"/>
      <c r="D74" s="25" t="n"/>
      <c r="E74" s="24" t="n"/>
      <c r="F74" s="24" t="n"/>
    </row>
    <row r="75">
      <c r="A75" s="24" t="n"/>
      <c r="B75" s="24" t="n"/>
      <c r="C75" s="24" t="n"/>
      <c r="D75" s="25" t="n"/>
      <c r="E75" s="24" t="n"/>
      <c r="F75" s="24" t="n"/>
    </row>
    <row r="76">
      <c r="A76" s="24" t="n"/>
      <c r="B76" s="24" t="n"/>
      <c r="C76" s="24" t="n"/>
      <c r="D76" s="25" t="n"/>
      <c r="E76" s="24" t="n"/>
      <c r="F76" s="24" t="n"/>
    </row>
    <row r="77">
      <c r="A77" s="24" t="n"/>
      <c r="B77" s="24" t="n"/>
      <c r="C77" s="24" t="n"/>
      <c r="D77" s="25" t="n"/>
      <c r="E77" s="24" t="n"/>
      <c r="F77" s="24" t="n"/>
    </row>
    <row r="78">
      <c r="A78" s="24" t="n"/>
      <c r="B78" s="24" t="n"/>
      <c r="C78" s="24" t="n"/>
      <c r="D78" s="25" t="n"/>
      <c r="E78" s="24" t="n"/>
      <c r="F78" s="24" t="n"/>
    </row>
    <row r="79">
      <c r="A79" s="24" t="n"/>
      <c r="B79" s="24" t="n"/>
      <c r="C79" s="24" t="n"/>
      <c r="D79" s="25" t="n"/>
      <c r="E79" s="24" t="n"/>
      <c r="F79" s="24" t="n"/>
    </row>
    <row r="80">
      <c r="A80" s="24" t="n"/>
      <c r="B80" s="24" t="n"/>
      <c r="C80" s="24" t="n"/>
      <c r="D80" s="25" t="n"/>
      <c r="E80" s="24" t="n"/>
      <c r="F80" s="24" t="n"/>
    </row>
    <row r="81">
      <c r="A81" s="24" t="n"/>
      <c r="B81" s="24" t="n"/>
      <c r="C81" s="24" t="n"/>
      <c r="D81" s="25" t="n"/>
      <c r="E81" s="24" t="n"/>
      <c r="F81" s="24" t="n"/>
    </row>
    <row r="82">
      <c r="A82" s="24" t="n"/>
      <c r="B82" s="24" t="n"/>
      <c r="C82" s="24" t="n"/>
      <c r="D82" s="25" t="n"/>
      <c r="E82" s="24" t="n"/>
      <c r="F82" s="24" t="n"/>
    </row>
  </sheetData>
  <dataValidations count="2">
    <dataValidation sqref="B3:B82" showDropDown="0" showInputMessage="0" showErrorMessage="0" allowBlank="1" type="list">
      <formula1>"M03,M05,M06,M08,A04,A03"</formula1>
    </dataValidation>
    <dataValidation sqref="C3:C82" showDropDown="0" showInputMessage="0" showErrorMessage="0" allowBlank="1" type="list">
      <formula1>"Completada,Con ayuda,No completada"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K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60" customWidth="1" min="4" max="4"/>
    <col width="12" customWidth="1" min="5" max="5"/>
    <col width="18" customWidth="1" min="6" max="6"/>
    <col width="18" customWidth="1" min="7" max="7"/>
    <col width="14" customWidth="1" min="8" max="8"/>
    <col width="24" customWidth="1" min="10" max="10"/>
    <col width="10" customWidth="1" min="11" max="11"/>
  </cols>
  <sheetData>
    <row r="1" ht="42" customHeight="1">
      <c r="A1" s="10" t="inlineStr">
        <is>
          <t>N.º</t>
        </is>
      </c>
      <c r="B1" s="10" t="inlineStr">
        <is>
          <t>ID participante</t>
        </is>
      </c>
      <c r="C1" s="10" t="inlineStr">
        <is>
          <t>Pantalla o tarea</t>
        </is>
      </c>
      <c r="D1" s="10" t="inlineStr">
        <is>
          <t>Qué ocurrió / comentario (textual si es posible)</t>
        </is>
      </c>
      <c r="E1" s="10" t="inlineStr">
        <is>
          <t>Severidad</t>
        </is>
      </c>
      <c r="F1" s="10" t="inlineStr">
        <is>
          <t>Decisión</t>
        </is>
      </c>
      <c r="G1" s="10" t="inlineStr">
        <is>
          <t>Commit o issue</t>
        </is>
      </c>
      <c r="H1" s="10" t="inlineStr">
        <is>
          <t>Estado</t>
        </is>
      </c>
      <c r="J1" s="3" t="inlineStr">
        <is>
          <t>Resumen</t>
        </is>
      </c>
      <c r="K1" s="4" t="n"/>
    </row>
    <row r="2">
      <c r="A2" s="21" t="n">
        <v>0</v>
      </c>
      <c r="B2" s="21" t="inlineStr">
        <is>
          <t>P00 (ejemplo)</t>
        </is>
      </c>
      <c r="C2" s="21" t="inlineStr">
        <is>
          <t>Pacientes</t>
        </is>
      </c>
      <c r="D2" s="21" t="inlineStr">
        <is>
          <t>No entendí que debía pulsar «Guardar» para ver al paciente en la lista.</t>
        </is>
      </c>
      <c r="E2" s="21" t="inlineStr">
        <is>
          <t>Media</t>
        </is>
      </c>
      <c r="F2" s="21" t="inlineStr">
        <is>
          <t>Corregir ahora</t>
        </is>
      </c>
      <c r="G2" s="21" t="inlineStr">
        <is>
          <t>#123</t>
        </is>
      </c>
      <c r="H2" s="21" t="inlineStr">
        <is>
          <t>Abierto</t>
        </is>
      </c>
      <c r="J2" s="18" t="inlineStr">
        <is>
          <t>Hallazgos registrados</t>
        </is>
      </c>
      <c r="K2" s="26">
        <f>COUNTA(D3:D62)</f>
        <v/>
      </c>
    </row>
    <row r="3">
      <c r="A3" s="24" t="n">
        <v>1</v>
      </c>
      <c r="B3" s="24" t="n"/>
      <c r="C3" s="24" t="n"/>
      <c r="D3" s="24" t="n"/>
      <c r="E3" s="24" t="n"/>
      <c r="F3" s="24" t="n"/>
      <c r="G3" s="24" t="n"/>
      <c r="H3" s="24" t="n"/>
      <c r="J3" s="18" t="inlineStr">
        <is>
          <t>Severidad alta</t>
        </is>
      </c>
      <c r="K3" s="26">
        <f>COUNTIF(E3:E62,"Alta")</f>
        <v/>
      </c>
    </row>
    <row r="4">
      <c r="A4" s="24" t="n">
        <v>2</v>
      </c>
      <c r="B4" s="24" t="n"/>
      <c r="C4" s="24" t="n"/>
      <c r="D4" s="24" t="n"/>
      <c r="E4" s="24" t="n"/>
      <c r="F4" s="24" t="n"/>
      <c r="G4" s="24" t="n"/>
      <c r="H4" s="24" t="n"/>
      <c r="J4" s="18" t="inlineStr">
        <is>
          <t>Severidad media</t>
        </is>
      </c>
      <c r="K4" s="26">
        <f>COUNTIF(E3:E62,"Media")</f>
        <v/>
      </c>
    </row>
    <row r="5">
      <c r="A5" s="24" t="n">
        <v>3</v>
      </c>
      <c r="B5" s="24" t="n"/>
      <c r="C5" s="24" t="n"/>
      <c r="D5" s="24" t="n"/>
      <c r="E5" s="24" t="n"/>
      <c r="F5" s="24" t="n"/>
      <c r="G5" s="24" t="n"/>
      <c r="H5" s="24" t="n"/>
      <c r="J5" s="18" t="inlineStr">
        <is>
          <t>Severidad baja</t>
        </is>
      </c>
      <c r="K5" s="26">
        <f>COUNTIF(E3:E62,"Baja")</f>
        <v/>
      </c>
    </row>
    <row r="6">
      <c r="A6" s="24" t="n">
        <v>4</v>
      </c>
      <c r="B6" s="24" t="n"/>
      <c r="C6" s="24" t="n"/>
      <c r="D6" s="24" t="n"/>
      <c r="E6" s="24" t="n"/>
      <c r="F6" s="24" t="n"/>
      <c r="G6" s="24" t="n"/>
      <c r="H6" s="24" t="n"/>
      <c r="J6" s="18" t="inlineStr">
        <is>
          <t>Abiertos</t>
        </is>
      </c>
      <c r="K6" s="26">
        <f>COUNTIF(H3:H62,"Abierto")</f>
        <v/>
      </c>
    </row>
    <row r="7">
      <c r="A7" s="24" t="n">
        <v>5</v>
      </c>
      <c r="B7" s="24" t="n"/>
      <c r="C7" s="24" t="n"/>
      <c r="D7" s="24" t="n"/>
      <c r="E7" s="24" t="n"/>
      <c r="F7" s="24" t="n"/>
      <c r="G7" s="24" t="n"/>
      <c r="H7" s="24" t="n"/>
      <c r="J7" s="18" t="inlineStr">
        <is>
          <t>Corregidos o verificados</t>
        </is>
      </c>
      <c r="K7" s="26">
        <f>COUNTIF(H3:H62,"Corregido")+COUNTIF(H3:H62,"Verificado")</f>
        <v/>
      </c>
    </row>
    <row r="8">
      <c r="A8" s="24" t="n">
        <v>6</v>
      </c>
      <c r="B8" s="24" t="n"/>
      <c r="C8" s="24" t="n"/>
      <c r="D8" s="24" t="n"/>
      <c r="E8" s="24" t="n"/>
      <c r="F8" s="24" t="n"/>
      <c r="G8" s="24" t="n"/>
      <c r="H8" s="24" t="n"/>
    </row>
    <row r="9">
      <c r="A9" s="24" t="n">
        <v>7</v>
      </c>
      <c r="B9" s="24" t="n"/>
      <c r="C9" s="24" t="n"/>
      <c r="D9" s="24" t="n"/>
      <c r="E9" s="24" t="n"/>
      <c r="F9" s="24" t="n"/>
      <c r="G9" s="24" t="n"/>
      <c r="H9" s="24" t="n"/>
    </row>
    <row r="10">
      <c r="A10" s="24" t="n">
        <v>8</v>
      </c>
      <c r="B10" s="24" t="n"/>
      <c r="C10" s="24" t="n"/>
      <c r="D10" s="24" t="n"/>
      <c r="E10" s="24" t="n"/>
      <c r="F10" s="24" t="n"/>
      <c r="G10" s="24" t="n"/>
      <c r="H10" s="24" t="n"/>
    </row>
    <row r="11">
      <c r="A11" s="24" t="n">
        <v>9</v>
      </c>
      <c r="B11" s="24" t="n"/>
      <c r="C11" s="24" t="n"/>
      <c r="D11" s="24" t="n"/>
      <c r="E11" s="24" t="n"/>
      <c r="F11" s="24" t="n"/>
      <c r="G11" s="24" t="n"/>
      <c r="H11" s="24" t="n"/>
    </row>
    <row r="12">
      <c r="A12" s="24" t="n">
        <v>10</v>
      </c>
      <c r="B12" s="24" t="n"/>
      <c r="C12" s="24" t="n"/>
      <c r="D12" s="24" t="n"/>
      <c r="E12" s="24" t="n"/>
      <c r="F12" s="24" t="n"/>
      <c r="G12" s="24" t="n"/>
      <c r="H12" s="24" t="n"/>
    </row>
    <row r="13">
      <c r="A13" s="24" t="n">
        <v>11</v>
      </c>
      <c r="B13" s="24" t="n"/>
      <c r="C13" s="24" t="n"/>
      <c r="D13" s="24" t="n"/>
      <c r="E13" s="24" t="n"/>
      <c r="F13" s="24" t="n"/>
      <c r="G13" s="24" t="n"/>
      <c r="H13" s="24" t="n"/>
    </row>
    <row r="14">
      <c r="A14" s="24" t="n">
        <v>12</v>
      </c>
      <c r="B14" s="24" t="n"/>
      <c r="C14" s="24" t="n"/>
      <c r="D14" s="24" t="n"/>
      <c r="E14" s="24" t="n"/>
      <c r="F14" s="24" t="n"/>
      <c r="G14" s="24" t="n"/>
      <c r="H14" s="24" t="n"/>
    </row>
    <row r="15">
      <c r="A15" s="24" t="n">
        <v>13</v>
      </c>
      <c r="B15" s="24" t="n"/>
      <c r="C15" s="24" t="n"/>
      <c r="D15" s="24" t="n"/>
      <c r="E15" s="24" t="n"/>
      <c r="F15" s="24" t="n"/>
      <c r="G15" s="24" t="n"/>
      <c r="H15" s="24" t="n"/>
    </row>
    <row r="16">
      <c r="A16" s="24" t="n">
        <v>14</v>
      </c>
      <c r="B16" s="24" t="n"/>
      <c r="C16" s="24" t="n"/>
      <c r="D16" s="24" t="n"/>
      <c r="E16" s="24" t="n"/>
      <c r="F16" s="24" t="n"/>
      <c r="G16" s="24" t="n"/>
      <c r="H16" s="24" t="n"/>
    </row>
    <row r="17">
      <c r="A17" s="24" t="n">
        <v>15</v>
      </c>
      <c r="B17" s="24" t="n"/>
      <c r="C17" s="24" t="n"/>
      <c r="D17" s="24" t="n"/>
      <c r="E17" s="24" t="n"/>
      <c r="F17" s="24" t="n"/>
      <c r="G17" s="24" t="n"/>
      <c r="H17" s="24" t="n"/>
    </row>
    <row r="18">
      <c r="A18" s="24" t="n">
        <v>16</v>
      </c>
      <c r="B18" s="24" t="n"/>
      <c r="C18" s="24" t="n"/>
      <c r="D18" s="24" t="n"/>
      <c r="E18" s="24" t="n"/>
      <c r="F18" s="24" t="n"/>
      <c r="G18" s="24" t="n"/>
      <c r="H18" s="24" t="n"/>
    </row>
    <row r="19">
      <c r="A19" s="24" t="n">
        <v>17</v>
      </c>
      <c r="B19" s="24" t="n"/>
      <c r="C19" s="24" t="n"/>
      <c r="D19" s="24" t="n"/>
      <c r="E19" s="24" t="n"/>
      <c r="F19" s="24" t="n"/>
      <c r="G19" s="24" t="n"/>
      <c r="H19" s="24" t="n"/>
    </row>
    <row r="20">
      <c r="A20" s="24" t="n">
        <v>18</v>
      </c>
      <c r="B20" s="24" t="n"/>
      <c r="C20" s="24" t="n"/>
      <c r="D20" s="24" t="n"/>
      <c r="E20" s="24" t="n"/>
      <c r="F20" s="24" t="n"/>
      <c r="G20" s="24" t="n"/>
      <c r="H20" s="24" t="n"/>
    </row>
    <row r="21">
      <c r="A21" s="24" t="n">
        <v>19</v>
      </c>
      <c r="B21" s="24" t="n"/>
      <c r="C21" s="24" t="n"/>
      <c r="D21" s="24" t="n"/>
      <c r="E21" s="24" t="n"/>
      <c r="F21" s="24" t="n"/>
      <c r="G21" s="24" t="n"/>
      <c r="H21" s="24" t="n"/>
    </row>
    <row r="22">
      <c r="A22" s="24" t="n">
        <v>20</v>
      </c>
      <c r="B22" s="24" t="n"/>
      <c r="C22" s="24" t="n"/>
      <c r="D22" s="24" t="n"/>
      <c r="E22" s="24" t="n"/>
      <c r="F22" s="24" t="n"/>
      <c r="G22" s="24" t="n"/>
      <c r="H22" s="24" t="n"/>
    </row>
    <row r="23">
      <c r="A23" s="24" t="n">
        <v>21</v>
      </c>
      <c r="B23" s="24" t="n"/>
      <c r="C23" s="24" t="n"/>
      <c r="D23" s="24" t="n"/>
      <c r="E23" s="24" t="n"/>
      <c r="F23" s="24" t="n"/>
      <c r="G23" s="24" t="n"/>
      <c r="H23" s="24" t="n"/>
    </row>
    <row r="24">
      <c r="A24" s="24" t="n">
        <v>22</v>
      </c>
      <c r="B24" s="24" t="n"/>
      <c r="C24" s="24" t="n"/>
      <c r="D24" s="24" t="n"/>
      <c r="E24" s="24" t="n"/>
      <c r="F24" s="24" t="n"/>
      <c r="G24" s="24" t="n"/>
      <c r="H24" s="24" t="n"/>
    </row>
    <row r="25">
      <c r="A25" s="24" t="n">
        <v>23</v>
      </c>
      <c r="B25" s="24" t="n"/>
      <c r="C25" s="24" t="n"/>
      <c r="D25" s="24" t="n"/>
      <c r="E25" s="24" t="n"/>
      <c r="F25" s="24" t="n"/>
      <c r="G25" s="24" t="n"/>
      <c r="H25" s="24" t="n"/>
    </row>
    <row r="26">
      <c r="A26" s="24" t="n">
        <v>24</v>
      </c>
      <c r="B26" s="24" t="n"/>
      <c r="C26" s="24" t="n"/>
      <c r="D26" s="24" t="n"/>
      <c r="E26" s="24" t="n"/>
      <c r="F26" s="24" t="n"/>
      <c r="G26" s="24" t="n"/>
      <c r="H26" s="24" t="n"/>
    </row>
    <row r="27">
      <c r="A27" s="24" t="n">
        <v>25</v>
      </c>
      <c r="B27" s="24" t="n"/>
      <c r="C27" s="24" t="n"/>
      <c r="D27" s="24" t="n"/>
      <c r="E27" s="24" t="n"/>
      <c r="F27" s="24" t="n"/>
      <c r="G27" s="24" t="n"/>
      <c r="H27" s="24" t="n"/>
    </row>
    <row r="28">
      <c r="A28" s="24" t="n">
        <v>26</v>
      </c>
      <c r="B28" s="24" t="n"/>
      <c r="C28" s="24" t="n"/>
      <c r="D28" s="24" t="n"/>
      <c r="E28" s="24" t="n"/>
      <c r="F28" s="24" t="n"/>
      <c r="G28" s="24" t="n"/>
      <c r="H28" s="24" t="n"/>
    </row>
    <row r="29">
      <c r="A29" s="24" t="n">
        <v>27</v>
      </c>
      <c r="B29" s="24" t="n"/>
      <c r="C29" s="24" t="n"/>
      <c r="D29" s="24" t="n"/>
      <c r="E29" s="24" t="n"/>
      <c r="F29" s="24" t="n"/>
      <c r="G29" s="24" t="n"/>
      <c r="H29" s="24" t="n"/>
    </row>
    <row r="30">
      <c r="A30" s="24" t="n">
        <v>28</v>
      </c>
      <c r="B30" s="24" t="n"/>
      <c r="C30" s="24" t="n"/>
      <c r="D30" s="24" t="n"/>
      <c r="E30" s="24" t="n"/>
      <c r="F30" s="24" t="n"/>
      <c r="G30" s="24" t="n"/>
      <c r="H30" s="24" t="n"/>
    </row>
    <row r="31">
      <c r="A31" s="24" t="n">
        <v>29</v>
      </c>
      <c r="B31" s="24" t="n"/>
      <c r="C31" s="24" t="n"/>
      <c r="D31" s="24" t="n"/>
      <c r="E31" s="24" t="n"/>
      <c r="F31" s="24" t="n"/>
      <c r="G31" s="24" t="n"/>
      <c r="H31" s="24" t="n"/>
    </row>
    <row r="32">
      <c r="A32" s="24" t="n">
        <v>30</v>
      </c>
      <c r="B32" s="24" t="n"/>
      <c r="C32" s="24" t="n"/>
      <c r="D32" s="24" t="n"/>
      <c r="E32" s="24" t="n"/>
      <c r="F32" s="24" t="n"/>
      <c r="G32" s="24" t="n"/>
      <c r="H32" s="24" t="n"/>
    </row>
    <row r="33">
      <c r="A33" s="24" t="n">
        <v>31</v>
      </c>
      <c r="B33" s="24" t="n"/>
      <c r="C33" s="24" t="n"/>
      <c r="D33" s="24" t="n"/>
      <c r="E33" s="24" t="n"/>
      <c r="F33" s="24" t="n"/>
      <c r="G33" s="24" t="n"/>
      <c r="H33" s="24" t="n"/>
    </row>
    <row r="34">
      <c r="A34" s="24" t="n">
        <v>32</v>
      </c>
      <c r="B34" s="24" t="n"/>
      <c r="C34" s="24" t="n"/>
      <c r="D34" s="24" t="n"/>
      <c r="E34" s="24" t="n"/>
      <c r="F34" s="24" t="n"/>
      <c r="G34" s="24" t="n"/>
      <c r="H34" s="24" t="n"/>
    </row>
    <row r="35">
      <c r="A35" s="24" t="n">
        <v>33</v>
      </c>
      <c r="B35" s="24" t="n"/>
      <c r="C35" s="24" t="n"/>
      <c r="D35" s="24" t="n"/>
      <c r="E35" s="24" t="n"/>
      <c r="F35" s="24" t="n"/>
      <c r="G35" s="24" t="n"/>
      <c r="H35" s="24" t="n"/>
    </row>
    <row r="36">
      <c r="A36" s="24" t="n">
        <v>34</v>
      </c>
      <c r="B36" s="24" t="n"/>
      <c r="C36" s="24" t="n"/>
      <c r="D36" s="24" t="n"/>
      <c r="E36" s="24" t="n"/>
      <c r="F36" s="24" t="n"/>
      <c r="G36" s="24" t="n"/>
      <c r="H36" s="24" t="n"/>
    </row>
    <row r="37">
      <c r="A37" s="24" t="n">
        <v>35</v>
      </c>
      <c r="B37" s="24" t="n"/>
      <c r="C37" s="24" t="n"/>
      <c r="D37" s="24" t="n"/>
      <c r="E37" s="24" t="n"/>
      <c r="F37" s="24" t="n"/>
      <c r="G37" s="24" t="n"/>
      <c r="H37" s="24" t="n"/>
    </row>
    <row r="38">
      <c r="A38" s="24" t="n">
        <v>36</v>
      </c>
      <c r="B38" s="24" t="n"/>
      <c r="C38" s="24" t="n"/>
      <c r="D38" s="24" t="n"/>
      <c r="E38" s="24" t="n"/>
      <c r="F38" s="24" t="n"/>
      <c r="G38" s="24" t="n"/>
      <c r="H38" s="24" t="n"/>
    </row>
    <row r="39">
      <c r="A39" s="24" t="n">
        <v>37</v>
      </c>
      <c r="B39" s="24" t="n"/>
      <c r="C39" s="24" t="n"/>
      <c r="D39" s="24" t="n"/>
      <c r="E39" s="24" t="n"/>
      <c r="F39" s="24" t="n"/>
      <c r="G39" s="24" t="n"/>
      <c r="H39" s="24" t="n"/>
    </row>
    <row r="40">
      <c r="A40" s="24" t="n">
        <v>38</v>
      </c>
      <c r="B40" s="24" t="n"/>
      <c r="C40" s="24" t="n"/>
      <c r="D40" s="24" t="n"/>
      <c r="E40" s="24" t="n"/>
      <c r="F40" s="24" t="n"/>
      <c r="G40" s="24" t="n"/>
      <c r="H40" s="24" t="n"/>
    </row>
    <row r="41">
      <c r="A41" s="24" t="n">
        <v>39</v>
      </c>
      <c r="B41" s="24" t="n"/>
      <c r="C41" s="24" t="n"/>
      <c r="D41" s="24" t="n"/>
      <c r="E41" s="24" t="n"/>
      <c r="F41" s="24" t="n"/>
      <c r="G41" s="24" t="n"/>
      <c r="H41" s="24" t="n"/>
    </row>
    <row r="42">
      <c r="A42" s="24" t="n">
        <v>40</v>
      </c>
      <c r="B42" s="24" t="n"/>
      <c r="C42" s="24" t="n"/>
      <c r="D42" s="24" t="n"/>
      <c r="E42" s="24" t="n"/>
      <c r="F42" s="24" t="n"/>
      <c r="G42" s="24" t="n"/>
      <c r="H42" s="24" t="n"/>
    </row>
    <row r="43">
      <c r="A43" s="24" t="n">
        <v>41</v>
      </c>
      <c r="B43" s="24" t="n"/>
      <c r="C43" s="24" t="n"/>
      <c r="D43" s="24" t="n"/>
      <c r="E43" s="24" t="n"/>
      <c r="F43" s="24" t="n"/>
      <c r="G43" s="24" t="n"/>
      <c r="H43" s="24" t="n"/>
    </row>
    <row r="44">
      <c r="A44" s="24" t="n">
        <v>42</v>
      </c>
      <c r="B44" s="24" t="n"/>
      <c r="C44" s="24" t="n"/>
      <c r="D44" s="24" t="n"/>
      <c r="E44" s="24" t="n"/>
      <c r="F44" s="24" t="n"/>
      <c r="G44" s="24" t="n"/>
      <c r="H44" s="24" t="n"/>
    </row>
    <row r="45">
      <c r="A45" s="24" t="n">
        <v>43</v>
      </c>
      <c r="B45" s="24" t="n"/>
      <c r="C45" s="24" t="n"/>
      <c r="D45" s="24" t="n"/>
      <c r="E45" s="24" t="n"/>
      <c r="F45" s="24" t="n"/>
      <c r="G45" s="24" t="n"/>
      <c r="H45" s="24" t="n"/>
    </row>
    <row r="46">
      <c r="A46" s="24" t="n">
        <v>44</v>
      </c>
      <c r="B46" s="24" t="n"/>
      <c r="C46" s="24" t="n"/>
      <c r="D46" s="24" t="n"/>
      <c r="E46" s="24" t="n"/>
      <c r="F46" s="24" t="n"/>
      <c r="G46" s="24" t="n"/>
      <c r="H46" s="24" t="n"/>
    </row>
    <row r="47">
      <c r="A47" s="24" t="n">
        <v>45</v>
      </c>
      <c r="B47" s="24" t="n"/>
      <c r="C47" s="24" t="n"/>
      <c r="D47" s="24" t="n"/>
      <c r="E47" s="24" t="n"/>
      <c r="F47" s="24" t="n"/>
      <c r="G47" s="24" t="n"/>
      <c r="H47" s="24" t="n"/>
    </row>
    <row r="48">
      <c r="A48" s="24" t="n">
        <v>46</v>
      </c>
      <c r="B48" s="24" t="n"/>
      <c r="C48" s="24" t="n"/>
      <c r="D48" s="24" t="n"/>
      <c r="E48" s="24" t="n"/>
      <c r="F48" s="24" t="n"/>
      <c r="G48" s="24" t="n"/>
      <c r="H48" s="24" t="n"/>
    </row>
    <row r="49">
      <c r="A49" s="24" t="n">
        <v>47</v>
      </c>
      <c r="B49" s="24" t="n"/>
      <c r="C49" s="24" t="n"/>
      <c r="D49" s="24" t="n"/>
      <c r="E49" s="24" t="n"/>
      <c r="F49" s="24" t="n"/>
      <c r="G49" s="24" t="n"/>
      <c r="H49" s="24" t="n"/>
    </row>
    <row r="50">
      <c r="A50" s="24" t="n">
        <v>48</v>
      </c>
      <c r="B50" s="24" t="n"/>
      <c r="C50" s="24" t="n"/>
      <c r="D50" s="24" t="n"/>
      <c r="E50" s="24" t="n"/>
      <c r="F50" s="24" t="n"/>
      <c r="G50" s="24" t="n"/>
      <c r="H50" s="24" t="n"/>
    </row>
    <row r="51">
      <c r="A51" s="24" t="n">
        <v>49</v>
      </c>
      <c r="B51" s="24" t="n"/>
      <c r="C51" s="24" t="n"/>
      <c r="D51" s="24" t="n"/>
      <c r="E51" s="24" t="n"/>
      <c r="F51" s="24" t="n"/>
      <c r="G51" s="24" t="n"/>
      <c r="H51" s="24" t="n"/>
    </row>
    <row r="52">
      <c r="A52" s="24" t="n">
        <v>50</v>
      </c>
      <c r="B52" s="24" t="n"/>
      <c r="C52" s="24" t="n"/>
      <c r="D52" s="24" t="n"/>
      <c r="E52" s="24" t="n"/>
      <c r="F52" s="24" t="n"/>
      <c r="G52" s="24" t="n"/>
      <c r="H52" s="24" t="n"/>
    </row>
    <row r="53">
      <c r="A53" s="24" t="n">
        <v>51</v>
      </c>
      <c r="B53" s="24" t="n"/>
      <c r="C53" s="24" t="n"/>
      <c r="D53" s="24" t="n"/>
      <c r="E53" s="24" t="n"/>
      <c r="F53" s="24" t="n"/>
      <c r="G53" s="24" t="n"/>
      <c r="H53" s="24" t="n"/>
    </row>
    <row r="54">
      <c r="A54" s="24" t="n">
        <v>52</v>
      </c>
      <c r="B54" s="24" t="n"/>
      <c r="C54" s="24" t="n"/>
      <c r="D54" s="24" t="n"/>
      <c r="E54" s="24" t="n"/>
      <c r="F54" s="24" t="n"/>
      <c r="G54" s="24" t="n"/>
      <c r="H54" s="24" t="n"/>
    </row>
    <row r="55">
      <c r="A55" s="24" t="n">
        <v>53</v>
      </c>
      <c r="B55" s="24" t="n"/>
      <c r="C55" s="24" t="n"/>
      <c r="D55" s="24" t="n"/>
      <c r="E55" s="24" t="n"/>
      <c r="F55" s="24" t="n"/>
      <c r="G55" s="24" t="n"/>
      <c r="H55" s="24" t="n"/>
    </row>
    <row r="56">
      <c r="A56" s="24" t="n">
        <v>54</v>
      </c>
      <c r="B56" s="24" t="n"/>
      <c r="C56" s="24" t="n"/>
      <c r="D56" s="24" t="n"/>
      <c r="E56" s="24" t="n"/>
      <c r="F56" s="24" t="n"/>
      <c r="G56" s="24" t="n"/>
      <c r="H56" s="24" t="n"/>
    </row>
    <row r="57">
      <c r="A57" s="24" t="n">
        <v>55</v>
      </c>
      <c r="B57" s="24" t="n"/>
      <c r="C57" s="24" t="n"/>
      <c r="D57" s="24" t="n"/>
      <c r="E57" s="24" t="n"/>
      <c r="F57" s="24" t="n"/>
      <c r="G57" s="24" t="n"/>
      <c r="H57" s="24" t="n"/>
    </row>
    <row r="58">
      <c r="A58" s="24" t="n">
        <v>56</v>
      </c>
      <c r="B58" s="24" t="n"/>
      <c r="C58" s="24" t="n"/>
      <c r="D58" s="24" t="n"/>
      <c r="E58" s="24" t="n"/>
      <c r="F58" s="24" t="n"/>
      <c r="G58" s="24" t="n"/>
      <c r="H58" s="24" t="n"/>
    </row>
    <row r="59">
      <c r="A59" s="24" t="n">
        <v>57</v>
      </c>
      <c r="B59" s="24" t="n"/>
      <c r="C59" s="24" t="n"/>
      <c r="D59" s="24" t="n"/>
      <c r="E59" s="24" t="n"/>
      <c r="F59" s="24" t="n"/>
      <c r="G59" s="24" t="n"/>
      <c r="H59" s="24" t="n"/>
    </row>
    <row r="60">
      <c r="A60" s="24" t="n">
        <v>58</v>
      </c>
      <c r="B60" s="24" t="n"/>
      <c r="C60" s="24" t="n"/>
      <c r="D60" s="24" t="n"/>
      <c r="E60" s="24" t="n"/>
      <c r="F60" s="24" t="n"/>
      <c r="G60" s="24" t="n"/>
      <c r="H60" s="24" t="n"/>
    </row>
    <row r="61">
      <c r="A61" s="24" t="n">
        <v>59</v>
      </c>
      <c r="B61" s="24" t="n"/>
      <c r="C61" s="24" t="n"/>
      <c r="D61" s="24" t="n"/>
      <c r="E61" s="24" t="n"/>
      <c r="F61" s="24" t="n"/>
      <c r="G61" s="24" t="n"/>
      <c r="H61" s="24" t="n"/>
    </row>
    <row r="62">
      <c r="A62" s="24" t="n">
        <v>60</v>
      </c>
      <c r="B62" s="24" t="n"/>
      <c r="C62" s="24" t="n"/>
      <c r="D62" s="24" t="n"/>
      <c r="E62" s="24" t="n"/>
      <c r="F62" s="24" t="n"/>
      <c r="G62" s="24" t="n"/>
      <c r="H62" s="24" t="n"/>
    </row>
  </sheetData>
  <dataValidations count="3">
    <dataValidation sqref="E3:E62" showDropDown="0" showInputMessage="0" showErrorMessage="0" allowBlank="1" type="list">
      <formula1>"Alta,Media,Baja"</formula1>
    </dataValidation>
    <dataValidation sqref="F3:F62" showDropDown="0" showInputMessage="0" showErrorMessage="0" allowBlank="1" type="list">
      <formula1>"Corregir ahora,Pasar al backlog,No aplica"</formula1>
    </dataValidation>
    <dataValidation sqref="H3:H62" showDropDown="0" showInputMessage="0" showErrorMessage="0" allowBlank="1" type="list">
      <formula1>"Abierto,Corregido,Verificado,Descartado"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2026-10-27T20:39:46Z</dcterms:created>
  <dcterms:modified xsi:type="dcterms:W3CDTF">2026-10-27T20:39:57Z</dcterms:modified>
</cp:coreProperties>
</file>